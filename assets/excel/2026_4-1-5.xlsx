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DieseArbeitsmappe" defaultThemeVersion="166925"/>
  <mc:AlternateContent xmlns:mc="http://schemas.openxmlformats.org/markup-compatibility/2006">
    <mc:Choice Requires="x15">
      <x15ac:absPath xmlns:x15ac="http://schemas.microsoft.com/office/spreadsheetml/2010/11/ac" url="S:\Hannover\Dez15_Uebergreifende_Analysen\Projekte\Integrationsmonitoring\Schlesier\MT_Site\assets\excel\"/>
    </mc:Choice>
  </mc:AlternateContent>
  <xr:revisionPtr revIDLastSave="0" documentId="13_ncr:1_{671A7852-E500-4D7D-9B4F-7DE61976659A}" xr6:coauthVersionLast="47" xr6:coauthVersionMax="47" xr10:uidLastSave="{00000000-0000-0000-0000-000000000000}"/>
  <bookViews>
    <workbookView xWindow="28680" yWindow="-120" windowWidth="29040" windowHeight="17520" xr2:uid="{25B46B2B-FF1A-413B-AD77-D797683F7C16}"/>
  </bookViews>
  <sheets>
    <sheet name="Tabelle1" sheetId="1" r:id="rId1"/>
  </sheets>
  <externalReferences>
    <externalReference r:id="rId2"/>
  </externalReferenc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5" i="1" l="1"/>
  <c r="I55" i="1"/>
  <c r="H55" i="1"/>
  <c r="G55" i="1"/>
  <c r="F55" i="1"/>
  <c r="E55" i="1"/>
  <c r="J54" i="1"/>
  <c r="I54" i="1"/>
  <c r="H54" i="1"/>
  <c r="G54" i="1"/>
  <c r="F54" i="1"/>
  <c r="E54" i="1"/>
  <c r="J53" i="1"/>
  <c r="I53" i="1"/>
  <c r="H53" i="1"/>
  <c r="G53" i="1"/>
  <c r="F53" i="1"/>
  <c r="E53" i="1"/>
  <c r="J52" i="1"/>
  <c r="I52" i="1"/>
  <c r="H52" i="1"/>
  <c r="G52" i="1"/>
  <c r="F52" i="1"/>
  <c r="E52" i="1"/>
  <c r="J51" i="1"/>
  <c r="I51" i="1"/>
  <c r="H51" i="1"/>
  <c r="G51" i="1"/>
  <c r="F51" i="1"/>
  <c r="E51" i="1"/>
  <c r="J50" i="1"/>
  <c r="I50" i="1"/>
  <c r="H50" i="1"/>
  <c r="G50" i="1"/>
  <c r="F50" i="1"/>
  <c r="E50" i="1"/>
  <c r="J49" i="1"/>
  <c r="I49" i="1"/>
  <c r="H49" i="1"/>
  <c r="G49" i="1"/>
  <c r="F49" i="1"/>
  <c r="E49" i="1"/>
  <c r="J48" i="1"/>
  <c r="I48" i="1"/>
  <c r="H48" i="1"/>
  <c r="G48" i="1"/>
  <c r="F48" i="1"/>
  <c r="E48" i="1"/>
  <c r="J47" i="1"/>
  <c r="I47" i="1"/>
  <c r="H47" i="1"/>
  <c r="G47" i="1"/>
  <c r="F47" i="1"/>
  <c r="E47" i="1"/>
  <c r="J46" i="1"/>
  <c r="I46" i="1"/>
  <c r="H46" i="1"/>
  <c r="G46" i="1"/>
  <c r="F46" i="1"/>
  <c r="E46" i="1"/>
  <c r="J45" i="1"/>
  <c r="I45" i="1"/>
  <c r="H45" i="1"/>
  <c r="G45" i="1"/>
  <c r="F45" i="1"/>
  <c r="E45" i="1"/>
  <c r="J44" i="1"/>
  <c r="I44" i="1"/>
  <c r="H44" i="1"/>
  <c r="G44" i="1"/>
  <c r="F44" i="1"/>
  <c r="E44" i="1"/>
  <c r="J43" i="1"/>
  <c r="I43" i="1"/>
  <c r="H43" i="1"/>
  <c r="G43" i="1"/>
  <c r="F43" i="1"/>
  <c r="E43" i="1"/>
  <c r="J42" i="1"/>
  <c r="I42" i="1"/>
  <c r="H42" i="1"/>
  <c r="G42" i="1"/>
  <c r="F42" i="1"/>
  <c r="E42" i="1"/>
  <c r="J41" i="1"/>
  <c r="I41" i="1"/>
  <c r="H41" i="1"/>
  <c r="G41" i="1"/>
  <c r="F41" i="1"/>
  <c r="E41" i="1"/>
  <c r="J40" i="1"/>
  <c r="I40" i="1"/>
  <c r="H40" i="1"/>
  <c r="G40" i="1"/>
  <c r="F40" i="1"/>
  <c r="E40" i="1"/>
  <c r="J39" i="1"/>
  <c r="I39" i="1"/>
  <c r="H39" i="1"/>
  <c r="G39" i="1"/>
  <c r="F39" i="1"/>
  <c r="E39" i="1"/>
  <c r="J38" i="1"/>
  <c r="I38" i="1"/>
  <c r="H38" i="1"/>
  <c r="G38" i="1"/>
  <c r="F38" i="1"/>
  <c r="E38" i="1"/>
  <c r="J37" i="1"/>
  <c r="I37" i="1"/>
  <c r="H37" i="1"/>
  <c r="G37" i="1"/>
  <c r="F37" i="1"/>
  <c r="E37" i="1"/>
  <c r="J36" i="1"/>
  <c r="I36" i="1"/>
  <c r="H36" i="1"/>
  <c r="G36" i="1"/>
  <c r="F36" i="1"/>
  <c r="E36" i="1"/>
  <c r="J35" i="1"/>
  <c r="I35" i="1"/>
  <c r="H35" i="1"/>
  <c r="G35" i="1"/>
  <c r="F35" i="1"/>
  <c r="E35" i="1"/>
  <c r="J34" i="1"/>
  <c r="I34" i="1"/>
  <c r="H34" i="1"/>
  <c r="G34" i="1"/>
  <c r="F34" i="1"/>
  <c r="E34" i="1"/>
  <c r="J33" i="1"/>
  <c r="I33" i="1"/>
  <c r="H33" i="1"/>
  <c r="G33" i="1"/>
  <c r="F33" i="1"/>
  <c r="E33" i="1"/>
  <c r="J32" i="1"/>
  <c r="I32" i="1"/>
  <c r="H32" i="1"/>
  <c r="G32" i="1"/>
  <c r="F32" i="1"/>
  <c r="E32" i="1"/>
  <c r="J31" i="1"/>
  <c r="I31" i="1"/>
  <c r="H31" i="1"/>
  <c r="G31" i="1"/>
  <c r="F31" i="1"/>
  <c r="E31" i="1"/>
  <c r="J30" i="1"/>
  <c r="I30" i="1"/>
  <c r="H30" i="1"/>
  <c r="G30" i="1"/>
  <c r="F30" i="1"/>
  <c r="E30" i="1"/>
  <c r="J29" i="1"/>
  <c r="I29" i="1"/>
  <c r="H29" i="1"/>
  <c r="G29" i="1"/>
  <c r="F29" i="1"/>
  <c r="E29" i="1"/>
  <c r="J28" i="1"/>
  <c r="I28" i="1"/>
  <c r="H28" i="1"/>
  <c r="G28" i="1"/>
  <c r="F28" i="1"/>
  <c r="E28" i="1"/>
  <c r="J27" i="1"/>
  <c r="I27" i="1"/>
  <c r="H27" i="1"/>
  <c r="G27" i="1"/>
  <c r="F27" i="1"/>
  <c r="E27" i="1"/>
  <c r="J26" i="1"/>
  <c r="I26" i="1"/>
  <c r="H26" i="1"/>
  <c r="G26" i="1"/>
  <c r="F26" i="1"/>
  <c r="E26" i="1"/>
  <c r="J25" i="1"/>
  <c r="I25" i="1"/>
  <c r="H25" i="1"/>
  <c r="G25" i="1"/>
  <c r="F25" i="1"/>
  <c r="E25" i="1"/>
  <c r="J24" i="1"/>
  <c r="I24" i="1"/>
  <c r="H24" i="1"/>
  <c r="G24" i="1"/>
  <c r="F24" i="1"/>
  <c r="E24" i="1"/>
  <c r="J23" i="1"/>
  <c r="I23" i="1"/>
  <c r="H23" i="1"/>
  <c r="G23" i="1"/>
  <c r="F23" i="1"/>
  <c r="E23" i="1"/>
  <c r="J22" i="1"/>
  <c r="I22" i="1"/>
  <c r="H22" i="1"/>
  <c r="G22" i="1"/>
  <c r="F22" i="1"/>
  <c r="E22" i="1"/>
  <c r="J21" i="1"/>
  <c r="I21" i="1"/>
  <c r="H21" i="1"/>
  <c r="G21" i="1"/>
  <c r="F21" i="1"/>
  <c r="E21" i="1"/>
  <c r="J20" i="1"/>
  <c r="I20" i="1"/>
  <c r="H20" i="1"/>
  <c r="G20" i="1"/>
  <c r="F20" i="1"/>
  <c r="E20" i="1"/>
  <c r="J19" i="1"/>
  <c r="I19" i="1"/>
  <c r="H19" i="1"/>
  <c r="G19" i="1"/>
  <c r="F19" i="1"/>
  <c r="E19" i="1"/>
  <c r="J18" i="1"/>
  <c r="I18" i="1"/>
  <c r="H18" i="1"/>
  <c r="G18" i="1"/>
  <c r="F18" i="1"/>
  <c r="E18" i="1"/>
  <c r="J17" i="1"/>
  <c r="I17" i="1"/>
  <c r="H17" i="1"/>
  <c r="G17" i="1"/>
  <c r="F17" i="1"/>
  <c r="E17" i="1"/>
  <c r="J16" i="1"/>
  <c r="I16" i="1"/>
  <c r="H16" i="1"/>
  <c r="G16" i="1"/>
  <c r="F16" i="1"/>
  <c r="E16" i="1"/>
  <c r="J15" i="1"/>
  <c r="I15" i="1"/>
  <c r="H15" i="1"/>
  <c r="G15" i="1"/>
  <c r="F15" i="1"/>
  <c r="E15" i="1"/>
  <c r="J14" i="1"/>
  <c r="I14" i="1"/>
  <c r="H14" i="1"/>
  <c r="G14" i="1"/>
  <c r="F14" i="1"/>
  <c r="E14" i="1"/>
  <c r="J13" i="1"/>
  <c r="I13" i="1"/>
  <c r="H13" i="1"/>
  <c r="G13" i="1"/>
  <c r="F13" i="1"/>
  <c r="E13" i="1"/>
  <c r="J12" i="1"/>
  <c r="I12" i="1"/>
  <c r="H12" i="1"/>
  <c r="G12" i="1"/>
  <c r="F12" i="1"/>
  <c r="E12" i="1"/>
  <c r="J11" i="1"/>
  <c r="I11" i="1"/>
  <c r="H11" i="1"/>
  <c r="G11" i="1"/>
  <c r="F11" i="1"/>
  <c r="E11" i="1"/>
</calcChain>
</file>

<file path=xl/sharedStrings.xml><?xml version="1.0" encoding="utf-8"?>
<sst xmlns="http://schemas.openxmlformats.org/spreadsheetml/2006/main" count="119" uniqueCount="29">
  <si>
    <t>Indikator 4.1.5: Frühe Schulabgänger/-innen und Personen mit niedrigem Bildungsstand nach Migrationsstatus und Geschlecht</t>
  </si>
  <si>
    <t>Tabelle 4.1.5: Frühe Schulabgänger/-innen und Personen mit niedrigem Bildungsstand nach Migrationsstatus und Geschlecht</t>
  </si>
  <si>
    <t>Jahr</t>
  </si>
  <si>
    <t xml:space="preserve">Migrationsstatus </t>
  </si>
  <si>
    <t>Bildungsstand 
Alter (von ... bis unter ... Jahren)</t>
  </si>
  <si>
    <t>Insgesamt</t>
  </si>
  <si>
    <t>ISCED 1 bis 2</t>
  </si>
  <si>
    <t>Geschlecht</t>
  </si>
  <si>
    <t>18 - 25</t>
  </si>
  <si>
    <t>25 - 65</t>
  </si>
  <si>
    <t>18 - 25 
(Frühe
Schulabgänger¹⁾)</t>
  </si>
  <si>
    <t>25 - 65 
(Personen mit
niedrigem 
Bildungsstand²⁾)</t>
  </si>
  <si>
    <t>1 000</t>
  </si>
  <si>
    <t>%</t>
  </si>
  <si>
    <t>mit und ohne Migrationshintergrund</t>
  </si>
  <si>
    <t>Ingesamt</t>
  </si>
  <si>
    <t>männlich</t>
  </si>
  <si>
    <t>weiblich</t>
  </si>
  <si>
    <t>ohne Migrationshintergrund</t>
  </si>
  <si>
    <t>mit Migrationshintergrund</t>
  </si>
  <si>
    <t>Falls Personen keine Angabe gemacht haben, wurden sie der „Insgesamt“-Kategorie zugewiesen.</t>
  </si>
  <si>
    <t>1) Frühe Schulabgänger: 18- bis unter 25-Jährige ohne beruflichen Abschluss und ohne (Fach-)Hochschulreife (maximal ISCED 2), die sich weder in schulischer oder beruflicher Ausbildung
befinden noch an einer Weiterbildung teilnehmen.</t>
  </si>
  <si>
    <t>2) Personen mit niedrigem Bildungsstand: 25- bis unter 65-Jährige ohne beruflichen Abschluss und ohne (Fach-)Hochschulreife (maximal ISCED 2).</t>
  </si>
  <si>
    <t>Quelle: Mikrozensus; Statistische Ämter des Bundes und der Länder, www.amtliche-sozialberichterstattung.de</t>
  </si>
  <si>
    <t>Niedersächsisches Ministerium für Soziales, Gesundheit und Gleichstellung (Hrsg.),</t>
  </si>
  <si>
    <t>Vervielfältigung und Verbreitung, auch auszugsweise, mit Quellenangabe gestattet.</t>
  </si>
  <si>
    <t>https://www.integrationsmonitoring.niedersachsen.de</t>
  </si>
  <si>
    <t>© Landesamt für Statistik Niedersachsen, Hannover 2026,                                                                   </t>
  </si>
  <si>
    <t>Migration und Teilhabe - Integrationsmonitoring Niedersachsen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</si>
</sst>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###0.0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NDSFrutiger 55 Roman"/>
    </font>
    <font>
      <sz val="9"/>
      <name val="NDSFrutiger 55 Roman"/>
    </font>
    <font>
      <sz val="6"/>
      <color rgb="FF000000"/>
      <name val="NDSFrutiger 45 Light"/>
    </font>
    <font>
      <sz val="6"/>
      <name val="NDSFrutiger 55 Roman"/>
    </font>
    <font>
      <sz val="6"/>
      <name val="NDSFrutiger 45 Light"/>
    </font>
    <font>
      <sz val="10"/>
      <name val="Arial"/>
      <family val="2"/>
    </font>
    <font>
      <sz val="9"/>
      <name val="MetaNormalLF-Roman"/>
      <family val="2"/>
    </font>
    <font>
      <sz val="6"/>
      <name val="Arial"/>
      <family val="2"/>
    </font>
    <font>
      <u/>
      <sz val="6"/>
      <color theme="10"/>
      <name val="NDSFrutiger 45 Light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1" fillId="0" borderId="0"/>
    <xf numFmtId="0" fontId="8" fillId="0" borderId="0"/>
  </cellStyleXfs>
  <cellXfs count="44">
    <xf numFmtId="0" fontId="0" fillId="0" borderId="0" xfId="0"/>
    <xf numFmtId="0" fontId="3" fillId="0" borderId="0" xfId="0" applyFont="1" applyAlignment="1" applyProtection="1">
      <alignment vertical="center"/>
      <protection locked="0"/>
    </xf>
    <xf numFmtId="0" fontId="4" fillId="0" borderId="0" xfId="0" applyFont="1"/>
    <xf numFmtId="0" fontId="5" fillId="2" borderId="3" xfId="0" applyFont="1" applyFill="1" applyBorder="1" applyAlignment="1">
      <alignment horizontal="center" vertical="center" wrapText="1"/>
    </xf>
    <xf numFmtId="0" fontId="5" fillId="0" borderId="0" xfId="0" applyFont="1"/>
    <xf numFmtId="0" fontId="5" fillId="2" borderId="7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11" xfId="0" applyFont="1" applyBorder="1"/>
    <xf numFmtId="0" fontId="6" fillId="0" borderId="0" xfId="0" applyFont="1"/>
    <xf numFmtId="0" fontId="0" fillId="2" borderId="0" xfId="0" applyFill="1" applyAlignment="1">
      <alignment horizontal="left" vertical="center"/>
    </xf>
    <xf numFmtId="0" fontId="7" fillId="0" borderId="0" xfId="0" applyFont="1" applyAlignment="1">
      <alignment vertical="center"/>
    </xf>
    <xf numFmtId="0" fontId="1" fillId="0" borderId="0" xfId="2" applyAlignment="1">
      <alignment vertical="center"/>
    </xf>
    <xf numFmtId="165" fontId="9" fillId="3" borderId="0" xfId="3" applyNumberFormat="1" applyFont="1" applyFill="1" applyAlignment="1">
      <alignment vertical="center" wrapText="1"/>
    </xf>
    <xf numFmtId="49" fontId="9" fillId="3" borderId="0" xfId="3" applyNumberFormat="1" applyFont="1" applyFill="1" applyAlignment="1">
      <alignment vertical="center" wrapText="1"/>
    </xf>
    <xf numFmtId="0" fontId="9" fillId="3" borderId="0" xfId="3" applyFont="1" applyFill="1" applyAlignment="1">
      <alignment vertical="center"/>
    </xf>
    <xf numFmtId="0" fontId="10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10" fillId="0" borderId="0" xfId="0" applyFont="1"/>
    <xf numFmtId="0" fontId="7" fillId="0" borderId="0" xfId="0" applyFont="1"/>
    <xf numFmtId="0" fontId="11" fillId="0" borderId="0" xfId="1" applyFont="1" applyBorder="1" applyAlignment="1"/>
    <xf numFmtId="0" fontId="5" fillId="0" borderId="0" xfId="0" applyFont="1" applyFill="1" applyAlignment="1">
      <alignment horizontal="center" vertical="center"/>
    </xf>
    <xf numFmtId="0" fontId="5" fillId="0" borderId="0" xfId="0" applyFont="1" applyFill="1"/>
    <xf numFmtId="0" fontId="5" fillId="0" borderId="0" xfId="0" applyFont="1" applyFill="1" applyAlignment="1">
      <alignment horizontal="center"/>
    </xf>
    <xf numFmtId="3" fontId="5" fillId="0" borderId="0" xfId="0" applyNumberFormat="1" applyFont="1" applyFill="1" applyAlignment="1">
      <alignment horizontal="right"/>
    </xf>
    <xf numFmtId="0" fontId="5" fillId="0" borderId="1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/>
    </xf>
    <xf numFmtId="1" fontId="5" fillId="0" borderId="0" xfId="0" applyNumberFormat="1" applyFont="1" applyFill="1"/>
    <xf numFmtId="0" fontId="0" fillId="0" borderId="0" xfId="0" applyFill="1"/>
    <xf numFmtId="0" fontId="0" fillId="0" borderId="0" xfId="0" applyFill="1" applyAlignment="1">
      <alignment horizontal="left" vertical="center"/>
    </xf>
    <xf numFmtId="0" fontId="1" fillId="0" borderId="0" xfId="2" applyFill="1" applyAlignment="1">
      <alignment vertical="center"/>
    </xf>
    <xf numFmtId="49" fontId="9" fillId="0" borderId="0" xfId="3" applyNumberFormat="1" applyFont="1" applyFill="1" applyAlignment="1">
      <alignment vertical="center" wrapText="1"/>
    </xf>
    <xf numFmtId="0" fontId="9" fillId="0" borderId="0" xfId="3" applyFont="1" applyFill="1" applyAlignment="1">
      <alignment vertical="center"/>
    </xf>
    <xf numFmtId="0" fontId="10" fillId="0" borderId="0" xfId="0" applyFont="1" applyFill="1" applyAlignment="1">
      <alignment horizontal="left" wrapText="1"/>
    </xf>
    <xf numFmtId="0" fontId="10" fillId="0" borderId="0" xfId="0" applyFont="1" applyFill="1"/>
  </cellXfs>
  <cellStyles count="4">
    <cellStyle name="Link" xfId="1" builtinId="8"/>
    <cellStyle name="Standard" xfId="0" builtinId="0"/>
    <cellStyle name="Standard 2" xfId="3" xr:uid="{FB5D2AF5-EF7B-4E4F-92DD-19E7A19D1FAD}"/>
    <cellStyle name="Standard 7" xfId="2" xr:uid="{B68ACA6D-94CD-4854-BF4F-5E3276E3ACC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Hannover/Dez15_Uebergreifende_Analysen/Projekte/Integrationsmonitoring_2026/Datentabellen%202026/2025_4-1-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022_4-1-5"/>
      <sheetName val="2021_Rohdaten"/>
      <sheetName val="2022_Rohdaten"/>
      <sheetName val="2023_Rohdaten"/>
      <sheetName val="2024_Rohdaten"/>
      <sheetName val="2025_Rohdaten"/>
      <sheetName val="CSV_Vorbereitung"/>
      <sheetName val="CSV_Export"/>
    </sheetNames>
    <sheetDataSet>
      <sheetData sheetId="0"/>
      <sheetData sheetId="1">
        <row r="11">
          <cell r="B11">
            <v>592.18917499999998</v>
          </cell>
          <cell r="C11">
            <v>4181.3154869999998</v>
          </cell>
          <cell r="D11">
            <v>73.354500000000002</v>
          </cell>
          <cell r="E11">
            <v>785.19937200000004</v>
          </cell>
          <cell r="F11">
            <v>12.387005</v>
          </cell>
          <cell r="G11">
            <v>18.778763999999999</v>
          </cell>
        </row>
        <row r="12">
          <cell r="B12">
            <v>302.43057199999998</v>
          </cell>
          <cell r="C12">
            <v>2107.382208</v>
          </cell>
          <cell r="D12">
            <v>42.042909000000002</v>
          </cell>
          <cell r="E12">
            <v>390.46539000000001</v>
          </cell>
          <cell r="F12">
            <v>13.901673000000001</v>
          </cell>
          <cell r="G12">
            <v>18.528455999999998</v>
          </cell>
        </row>
        <row r="13">
          <cell r="B13">
            <v>289.75860299999999</v>
          </cell>
          <cell r="C13">
            <v>2073.9332789999999</v>
          </cell>
          <cell r="D13">
            <v>31.311591</v>
          </cell>
          <cell r="E13">
            <v>394.73398200000003</v>
          </cell>
          <cell r="F13">
            <v>10.806094999999999</v>
          </cell>
          <cell r="G13">
            <v>19.033109</v>
          </cell>
        </row>
        <row r="14">
          <cell r="B14">
            <v>424.58570900000001</v>
          </cell>
          <cell r="C14">
            <v>3197.6875239999999</v>
          </cell>
          <cell r="D14">
            <v>39.821219999999997</v>
          </cell>
          <cell r="E14">
            <v>420.41152299999999</v>
          </cell>
          <cell r="F14">
            <v>9.3788409999999995</v>
          </cell>
          <cell r="G14">
            <v>13.147361</v>
          </cell>
        </row>
        <row r="15">
          <cell r="B15">
            <v>211.81081399999999</v>
          </cell>
          <cell r="C15">
            <v>1599.2633499999999</v>
          </cell>
          <cell r="D15">
            <v>22.064233000000002</v>
          </cell>
          <cell r="E15">
            <v>196.72188600000001</v>
          </cell>
          <cell r="F15">
            <v>10.416952999999999</v>
          </cell>
          <cell r="G15">
            <v>12.300781000000001</v>
          </cell>
        </row>
        <row r="16">
          <cell r="B16">
            <v>212.77489499999999</v>
          </cell>
          <cell r="C16">
            <v>1598.424174</v>
          </cell>
          <cell r="D16">
            <v>17.756986999999999</v>
          </cell>
          <cell r="E16">
            <v>223.689637</v>
          </cell>
          <cell r="F16">
            <v>8.3454329999999999</v>
          </cell>
          <cell r="G16">
            <v>13.994384999999999</v>
          </cell>
        </row>
        <row r="17">
          <cell r="B17">
            <v>167.603466</v>
          </cell>
          <cell r="C17">
            <v>983.62796300000002</v>
          </cell>
          <cell r="D17">
            <v>33.533279999999998</v>
          </cell>
          <cell r="E17">
            <v>364.78784899999999</v>
          </cell>
          <cell r="F17">
            <v>20.00751</v>
          </cell>
          <cell r="G17">
            <v>37.085957999999998</v>
          </cell>
        </row>
        <row r="18">
          <cell r="B18">
            <v>90.619758000000004</v>
          </cell>
          <cell r="C18">
            <v>508.11885799999999</v>
          </cell>
          <cell r="D18">
            <v>19.978676</v>
          </cell>
          <cell r="E18">
            <v>193.743504</v>
          </cell>
          <cell r="F18">
            <v>22.046710999999998</v>
          </cell>
          <cell r="G18">
            <v>38.129564000000002</v>
          </cell>
        </row>
        <row r="19">
          <cell r="B19">
            <v>76.983707999999993</v>
          </cell>
          <cell r="C19">
            <v>475.50910499999998</v>
          </cell>
          <cell r="D19">
            <v>13.554603999999999</v>
          </cell>
          <cell r="E19">
            <v>171.04434499999999</v>
          </cell>
          <cell r="F19">
            <v>17.607106999999999</v>
          </cell>
          <cell r="G19">
            <v>35.970782</v>
          </cell>
        </row>
      </sheetData>
      <sheetData sheetId="2">
        <row r="11">
          <cell r="B11">
            <v>598.09607400000004</v>
          </cell>
          <cell r="C11">
            <v>4208.8865130000004</v>
          </cell>
          <cell r="D11">
            <v>78.577333999999993</v>
          </cell>
          <cell r="E11">
            <v>795.09091799999999</v>
          </cell>
          <cell r="F11">
            <v>13.137912</v>
          </cell>
          <cell r="G11">
            <v>18.890765999999999</v>
          </cell>
        </row>
        <row r="12">
          <cell r="B12">
            <v>304.02389199999999</v>
          </cell>
          <cell r="C12">
            <v>2111.8473300000001</v>
          </cell>
          <cell r="D12">
            <v>44.418998000000002</v>
          </cell>
          <cell r="E12">
            <v>396.750519</v>
          </cell>
          <cell r="F12">
            <v>14.610364000000001</v>
          </cell>
          <cell r="G12">
            <v>18.786894</v>
          </cell>
        </row>
        <row r="13">
          <cell r="B13">
            <v>294.072182</v>
          </cell>
          <cell r="C13">
            <v>2097.0391829999999</v>
          </cell>
          <cell r="D13">
            <v>34.158335999999998</v>
          </cell>
          <cell r="E13">
            <v>398.34039899999999</v>
          </cell>
          <cell r="F13">
            <v>11.615629999999999</v>
          </cell>
          <cell r="G13">
            <v>18.995372</v>
          </cell>
        </row>
        <row r="14">
          <cell r="B14">
            <v>425.16594300000003</v>
          </cell>
          <cell r="C14">
            <v>3175.5298630000002</v>
          </cell>
          <cell r="D14">
            <v>41.260734999999997</v>
          </cell>
          <cell r="E14">
            <v>419.421604</v>
          </cell>
          <cell r="F14">
            <v>9.7046189999999992</v>
          </cell>
          <cell r="G14">
            <v>13.207924999999999</v>
          </cell>
        </row>
        <row r="15">
          <cell r="B15">
            <v>213.72658000000001</v>
          </cell>
          <cell r="C15">
            <v>1584.246046</v>
          </cell>
          <cell r="D15">
            <v>21.353016</v>
          </cell>
          <cell r="E15">
            <v>198.223061</v>
          </cell>
          <cell r="F15">
            <v>9.9908099999999997</v>
          </cell>
          <cell r="G15">
            <v>12.512138999999999</v>
          </cell>
        </row>
        <row r="16">
          <cell r="B16">
            <v>211.43936299999999</v>
          </cell>
          <cell r="C16">
            <v>1591.283817</v>
          </cell>
          <cell r="D16">
            <v>19.907719</v>
          </cell>
          <cell r="E16">
            <v>221.198543</v>
          </cell>
          <cell r="F16">
            <v>9.4153319999999994</v>
          </cell>
          <cell r="G16">
            <v>13.900634</v>
          </cell>
        </row>
        <row r="17">
          <cell r="B17">
            <v>172.93013099999999</v>
          </cell>
          <cell r="C17">
            <v>1033.3566499999999</v>
          </cell>
          <cell r="D17">
            <v>37.316598999999997</v>
          </cell>
          <cell r="E17">
            <v>375.66931399999999</v>
          </cell>
          <cell r="F17">
            <v>21.579003</v>
          </cell>
          <cell r="G17">
            <v>36.354275000000001</v>
          </cell>
        </row>
        <row r="18">
          <cell r="B18">
            <v>90.297312000000005</v>
          </cell>
          <cell r="C18">
            <v>527.60128399999996</v>
          </cell>
          <cell r="D18">
            <v>23.065982000000002</v>
          </cell>
          <cell r="E18">
            <v>198.527458</v>
          </cell>
          <cell r="F18">
            <v>25.544484000000001</v>
          </cell>
          <cell r="G18">
            <v>37.628312000000001</v>
          </cell>
        </row>
        <row r="19">
          <cell r="B19">
            <v>82.632818999999998</v>
          </cell>
          <cell r="C19">
            <v>505.75536599999998</v>
          </cell>
          <cell r="D19">
            <v>14.250617</v>
          </cell>
          <cell r="E19">
            <v>177.14185599999999</v>
          </cell>
          <cell r="F19">
            <v>17.245711</v>
          </cell>
          <cell r="G19">
            <v>35.025205</v>
          </cell>
        </row>
      </sheetData>
      <sheetData sheetId="3">
        <row r="11">
          <cell r="B11">
            <v>593.74429199999997</v>
          </cell>
          <cell r="C11">
            <v>4226.963471</v>
          </cell>
          <cell r="D11">
            <v>85.119185000000002</v>
          </cell>
          <cell r="E11">
            <v>780.83077900000001</v>
          </cell>
          <cell r="F11">
            <v>14.336001</v>
          </cell>
          <cell r="G11">
            <v>18.472617</v>
          </cell>
        </row>
        <row r="12">
          <cell r="B12">
            <v>301.280888</v>
          </cell>
          <cell r="C12">
            <v>2120.5386170000002</v>
          </cell>
          <cell r="D12">
            <v>51.275933999999999</v>
          </cell>
          <cell r="E12">
            <v>386.35118699999998</v>
          </cell>
          <cell r="F12">
            <v>17.019311999999999</v>
          </cell>
          <cell r="G12">
            <v>18.219484000000001</v>
          </cell>
        </row>
        <row r="13">
          <cell r="B13">
            <v>292.46340400000003</v>
          </cell>
          <cell r="C13">
            <v>2106.4248539999999</v>
          </cell>
          <cell r="D13">
            <v>33.843251000000002</v>
          </cell>
          <cell r="E13">
            <v>394.47959200000003</v>
          </cell>
          <cell r="F13">
            <v>11.57179</v>
          </cell>
          <cell r="G13">
            <v>18.727447000000002</v>
          </cell>
        </row>
        <row r="14">
          <cell r="B14">
            <v>404.98306100000002</v>
          </cell>
          <cell r="C14">
            <v>3161.2586980000001</v>
          </cell>
          <cell r="D14">
            <v>41.652287000000001</v>
          </cell>
          <cell r="E14">
            <v>389.62146999999999</v>
          </cell>
          <cell r="F14">
            <v>10.284945</v>
          </cell>
          <cell r="G14">
            <v>12.324884000000001</v>
          </cell>
        </row>
        <row r="15">
          <cell r="B15">
            <v>203.14160899999999</v>
          </cell>
          <cell r="C15">
            <v>1579.784566</v>
          </cell>
          <cell r="D15">
            <v>22.880966000000001</v>
          </cell>
          <cell r="E15">
            <v>183.02580800000001</v>
          </cell>
          <cell r="F15">
            <v>11.263555</v>
          </cell>
          <cell r="G15">
            <v>11.585492</v>
          </cell>
        </row>
        <row r="16">
          <cell r="B16">
            <v>201.841452</v>
          </cell>
          <cell r="C16">
            <v>1581.4741320000001</v>
          </cell>
          <cell r="D16">
            <v>18.771321</v>
          </cell>
          <cell r="E16">
            <v>206.595662</v>
          </cell>
          <cell r="F16">
            <v>9.3000330000000009</v>
          </cell>
          <cell r="G16">
            <v>13.063487</v>
          </cell>
        </row>
        <row r="17">
          <cell r="B17">
            <v>188.76123100000001</v>
          </cell>
          <cell r="C17">
            <v>1065.7047729999999</v>
          </cell>
          <cell r="D17">
            <v>43.466898</v>
          </cell>
          <cell r="E17">
            <v>391.20930900000002</v>
          </cell>
          <cell r="F17">
            <v>23.027450000000002</v>
          </cell>
          <cell r="G17">
            <v>36.708976</v>
          </cell>
        </row>
        <row r="18">
          <cell r="B18">
            <v>98.139279000000002</v>
          </cell>
          <cell r="C18">
            <v>540.754051</v>
          </cell>
          <cell r="D18">
            <v>28.394967999999999</v>
          </cell>
          <cell r="E18">
            <v>203.325379</v>
          </cell>
          <cell r="F18">
            <v>28.933337000000002</v>
          </cell>
          <cell r="G18">
            <v>37.600343000000002</v>
          </cell>
        </row>
        <row r="19">
          <cell r="B19">
            <v>90.621951999999993</v>
          </cell>
          <cell r="C19">
            <v>524.95072200000004</v>
          </cell>
          <cell r="D19">
            <v>15.07193</v>
          </cell>
          <cell r="E19">
            <v>187.88392999999999</v>
          </cell>
          <cell r="F19">
            <v>16.631654999999999</v>
          </cell>
          <cell r="G19">
            <v>35.790774999999996</v>
          </cell>
        </row>
      </sheetData>
      <sheetData sheetId="4">
        <row r="11">
          <cell r="B11">
            <v>581.27846799999998</v>
          </cell>
          <cell r="C11">
            <v>4225.4592910000001</v>
          </cell>
          <cell r="D11">
            <v>85.762679000000006</v>
          </cell>
          <cell r="E11">
            <v>765.13232900000003</v>
          </cell>
          <cell r="F11">
            <v>14.754147</v>
          </cell>
          <cell r="G11">
            <v>18.107672000000001</v>
          </cell>
        </row>
        <row r="12">
          <cell r="B12">
            <v>299.14718699999997</v>
          </cell>
          <cell r="C12">
            <v>2122.7304730000001</v>
          </cell>
          <cell r="D12">
            <v>53.365881000000002</v>
          </cell>
          <cell r="E12">
            <v>382.69006100000001</v>
          </cell>
          <cell r="F12">
            <v>17.839338999999999</v>
          </cell>
          <cell r="G12">
            <v>18.028198</v>
          </cell>
        </row>
        <row r="13">
          <cell r="B13">
            <v>282.131281</v>
          </cell>
          <cell r="C13">
            <v>2102.728818</v>
          </cell>
          <cell r="D13">
            <v>32.396797999999997</v>
          </cell>
          <cell r="E13">
            <v>382.44226800000001</v>
          </cell>
          <cell r="F13">
            <v>11.482881000000001</v>
          </cell>
          <cell r="G13">
            <v>18.187902999999999</v>
          </cell>
        </row>
        <row r="14">
          <cell r="B14">
            <v>382.071124</v>
          </cell>
          <cell r="C14">
            <v>3079.5796759999998</v>
          </cell>
          <cell r="D14">
            <v>39.997793000000001</v>
          </cell>
          <cell r="E14">
            <v>352.887832</v>
          </cell>
          <cell r="F14">
            <v>10.468677</v>
          </cell>
          <cell r="G14">
            <v>11.458961</v>
          </cell>
        </row>
        <row r="15">
          <cell r="B15">
            <v>192.60028299999999</v>
          </cell>
          <cell r="C15">
            <v>1546.9870249999999</v>
          </cell>
          <cell r="D15">
            <v>24.143861999999999</v>
          </cell>
          <cell r="E15">
            <v>167.28674899999999</v>
          </cell>
          <cell r="F15">
            <v>12.535735000000001</v>
          </cell>
          <cell r="G15">
            <v>10.813713999999999</v>
          </cell>
        </row>
        <row r="16">
          <cell r="B16">
            <v>189.47084100000001</v>
          </cell>
          <cell r="C16">
            <v>1532.5926509999999</v>
          </cell>
          <cell r="D16">
            <v>15.853930999999999</v>
          </cell>
          <cell r="E16">
            <v>185.60108299999999</v>
          </cell>
          <cell r="F16">
            <v>8.3674780000000002</v>
          </cell>
          <cell r="G16">
            <v>12.110268</v>
          </cell>
        </row>
        <row r="17">
          <cell r="B17">
            <v>199.20734400000001</v>
          </cell>
          <cell r="C17">
            <v>1145.8796150000001</v>
          </cell>
          <cell r="D17">
            <v>45.764885999999997</v>
          </cell>
          <cell r="E17">
            <v>412.24449700000002</v>
          </cell>
          <cell r="F17">
            <v>22.973493000000001</v>
          </cell>
          <cell r="G17">
            <v>35.976247999999998</v>
          </cell>
        </row>
        <row r="18">
          <cell r="B18">
            <v>106.546904</v>
          </cell>
          <cell r="C18">
            <v>575.74344799999994</v>
          </cell>
          <cell r="D18">
            <v>29.222019</v>
          </cell>
          <cell r="E18">
            <v>215.403312</v>
          </cell>
          <cell r="F18">
            <v>27.426437</v>
          </cell>
          <cell r="G18">
            <v>37.413072</v>
          </cell>
        </row>
        <row r="19">
          <cell r="B19">
            <v>92.660439999999994</v>
          </cell>
          <cell r="C19">
            <v>570.136167</v>
          </cell>
          <cell r="D19">
            <v>16.542867000000001</v>
          </cell>
          <cell r="E19">
            <v>196.841185</v>
          </cell>
          <cell r="F19">
            <v>17.853214000000001</v>
          </cell>
          <cell r="G19">
            <v>34.525292999999998</v>
          </cell>
        </row>
      </sheetData>
      <sheetData sheetId="5">
        <row r="11">
          <cell r="B11">
            <v>563.51249499999994</v>
          </cell>
          <cell r="C11">
            <v>4210.8418410000004</v>
          </cell>
          <cell r="D11">
            <v>75.550521000000003</v>
          </cell>
          <cell r="E11">
            <v>650.87234100000001</v>
          </cell>
          <cell r="F11">
            <v>13.407071</v>
          </cell>
          <cell r="G11">
            <v>15.45706</v>
          </cell>
        </row>
        <row r="12">
          <cell r="B12">
            <v>291.55767300000002</v>
          </cell>
          <cell r="C12">
            <v>2117.411216</v>
          </cell>
          <cell r="D12">
            <v>44.498083000000001</v>
          </cell>
          <cell r="E12">
            <v>335.08576799999997</v>
          </cell>
          <cell r="F12">
            <v>15.262188999999999</v>
          </cell>
          <cell r="G12">
            <v>15.825257000000001</v>
          </cell>
        </row>
        <row r="13">
          <cell r="B13">
            <v>271.95482199999998</v>
          </cell>
          <cell r="C13">
            <v>2093.430625</v>
          </cell>
          <cell r="D13">
            <v>31.052437999999999</v>
          </cell>
          <cell r="E13">
            <v>315.78657299999998</v>
          </cell>
          <cell r="F13">
            <v>11.418234</v>
          </cell>
          <cell r="G13">
            <v>15.084645</v>
          </cell>
        </row>
        <row r="14">
          <cell r="B14">
            <v>361.11754500000001</v>
          </cell>
          <cell r="C14">
            <v>3052.163301</v>
          </cell>
          <cell r="D14">
            <v>32.134946999999997</v>
          </cell>
          <cell r="E14">
            <v>259.21451500000001</v>
          </cell>
          <cell r="F14">
            <v>8.8987499999999997</v>
          </cell>
          <cell r="G14">
            <v>8.4928129999999999</v>
          </cell>
        </row>
        <row r="15">
          <cell r="B15">
            <v>183.59249</v>
          </cell>
          <cell r="C15">
            <v>1529.4529849999999</v>
          </cell>
          <cell r="D15">
            <v>17.232510999999999</v>
          </cell>
          <cell r="E15">
            <v>123.36502</v>
          </cell>
          <cell r="F15">
            <v>9.3862830000000006</v>
          </cell>
          <cell r="G15">
            <v>8.0659569999999992</v>
          </cell>
        </row>
        <row r="16">
          <cell r="B16">
            <v>177.52505500000001</v>
          </cell>
          <cell r="C16">
            <v>1522.7103159999999</v>
          </cell>
          <cell r="D16">
            <v>14.902436</v>
          </cell>
          <cell r="E16">
            <v>135.84949499999999</v>
          </cell>
          <cell r="F16">
            <v>8.3945539999999994</v>
          </cell>
          <cell r="G16">
            <v>8.9215590000000002</v>
          </cell>
        </row>
        <row r="17">
          <cell r="B17">
            <v>202.39494999999999</v>
          </cell>
          <cell r="C17">
            <v>1158.6785400000001</v>
          </cell>
          <cell r="D17">
            <v>43.415573999999999</v>
          </cell>
          <cell r="E17">
            <v>391.657826</v>
          </cell>
          <cell r="F17">
            <v>21.450918000000001</v>
          </cell>
          <cell r="G17">
            <v>33.802112999999999</v>
          </cell>
        </row>
        <row r="18">
          <cell r="B18">
            <v>107.965183</v>
          </cell>
          <cell r="C18">
            <v>587.95823099999996</v>
          </cell>
          <cell r="D18">
            <v>27.265571999999999</v>
          </cell>
          <cell r="E18">
            <v>211.72074799999999</v>
          </cell>
          <cell r="F18">
            <v>25.254041000000001</v>
          </cell>
          <cell r="G18">
            <v>36.009487999999997</v>
          </cell>
        </row>
        <row r="19">
          <cell r="B19">
            <v>94.429766999999998</v>
          </cell>
          <cell r="C19">
            <v>570.72030900000004</v>
          </cell>
          <cell r="D19">
            <v>16.150002000000001</v>
          </cell>
          <cell r="E19">
            <v>179.93707800000001</v>
          </cell>
          <cell r="F19">
            <v>17.10266</v>
          </cell>
          <cell r="G19">
            <v>31.528065999999999</v>
          </cell>
        </row>
      </sheetData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tegrationsmonitoring.niedersachsen.d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CA7DC-4AB7-41CE-9601-7AD578505D24}">
  <sheetPr codeName="Tabelle1"/>
  <dimension ref="A1:M67"/>
  <sheetViews>
    <sheetView showGridLines="0" tabSelected="1" zoomScale="160" zoomScaleNormal="160" workbookViewId="0">
      <selection activeCell="B2" sqref="B2"/>
    </sheetView>
  </sheetViews>
  <sheetFormatPr baseColWidth="10" defaultColWidth="11.5703125" defaultRowHeight="15"/>
  <cols>
    <col min="1" max="1" width="5.85546875" customWidth="1"/>
    <col min="2" max="2" width="7.5703125" customWidth="1"/>
    <col min="3" max="3" width="20.140625" customWidth="1"/>
    <col min="4" max="4" width="12.140625" customWidth="1"/>
    <col min="5" max="5" width="4.28515625" bestFit="1" customWidth="1"/>
    <col min="6" max="6" width="4.42578125" bestFit="1" customWidth="1"/>
    <col min="7" max="7" width="9.7109375" bestFit="1" customWidth="1"/>
    <col min="8" max="8" width="9.140625" bestFit="1" customWidth="1"/>
    <col min="9" max="9" width="9.7109375" bestFit="1" customWidth="1"/>
    <col min="10" max="10" width="9.140625" bestFit="1" customWidth="1"/>
  </cols>
  <sheetData>
    <row r="1" spans="2:10">
      <c r="B1" s="1" t="s">
        <v>28</v>
      </c>
      <c r="C1" s="1"/>
      <c r="D1" s="1"/>
    </row>
    <row r="3" spans="2:10">
      <c r="B3" s="1" t="s">
        <v>0</v>
      </c>
      <c r="C3" s="1"/>
      <c r="D3" s="1"/>
    </row>
    <row r="4" spans="2:10">
      <c r="B4" s="2" t="s">
        <v>1</v>
      </c>
      <c r="C4" s="2"/>
      <c r="D4" s="2"/>
    </row>
    <row r="6" spans="2:10" s="4" customFormat="1" ht="8.25">
      <c r="B6" s="28" t="s">
        <v>2</v>
      </c>
      <c r="C6" s="31" t="s">
        <v>3</v>
      </c>
      <c r="D6" s="3"/>
      <c r="E6" s="34" t="s">
        <v>4</v>
      </c>
      <c r="F6" s="34"/>
      <c r="G6" s="34"/>
      <c r="H6" s="34"/>
      <c r="I6" s="34"/>
      <c r="J6" s="34"/>
    </row>
    <row r="7" spans="2:10" s="4" customFormat="1" ht="8.25">
      <c r="B7" s="29"/>
      <c r="C7" s="32"/>
      <c r="D7" s="5"/>
      <c r="E7" s="35" t="s">
        <v>5</v>
      </c>
      <c r="F7" s="35"/>
      <c r="G7" s="35" t="s">
        <v>6</v>
      </c>
      <c r="H7" s="35"/>
      <c r="I7" s="35"/>
      <c r="J7" s="35"/>
    </row>
    <row r="8" spans="2:10" s="4" customFormat="1" ht="41.25">
      <c r="B8" s="29"/>
      <c r="C8" s="32"/>
      <c r="D8" s="5" t="s">
        <v>7</v>
      </c>
      <c r="E8" s="6" t="s">
        <v>8</v>
      </c>
      <c r="F8" s="6" t="s">
        <v>9</v>
      </c>
      <c r="G8" s="7" t="s">
        <v>10</v>
      </c>
      <c r="H8" s="7" t="s">
        <v>11</v>
      </c>
      <c r="I8" s="7" t="s">
        <v>10</v>
      </c>
      <c r="J8" s="7" t="s">
        <v>11</v>
      </c>
    </row>
    <row r="9" spans="2:10" s="4" customFormat="1" ht="8.25">
      <c r="B9" s="30"/>
      <c r="C9" s="33"/>
      <c r="D9" s="8"/>
      <c r="E9" s="6" t="s">
        <v>12</v>
      </c>
      <c r="F9" s="6" t="s">
        <v>12</v>
      </c>
      <c r="G9" s="6" t="s">
        <v>12</v>
      </c>
      <c r="H9" s="6" t="s">
        <v>12</v>
      </c>
      <c r="I9" s="6" t="s">
        <v>13</v>
      </c>
      <c r="J9" s="6" t="s">
        <v>13</v>
      </c>
    </row>
    <row r="10" spans="2:10" s="4" customFormat="1" ht="8.25">
      <c r="B10" s="9">
        <v>1</v>
      </c>
      <c r="C10" s="10">
        <v>2</v>
      </c>
      <c r="D10" s="10">
        <v>3</v>
      </c>
      <c r="E10" s="10">
        <v>4</v>
      </c>
      <c r="F10" s="10">
        <v>5</v>
      </c>
      <c r="G10" s="10">
        <v>6</v>
      </c>
      <c r="H10" s="10">
        <v>7</v>
      </c>
      <c r="I10" s="10">
        <v>8</v>
      </c>
      <c r="J10" s="10">
        <v>9</v>
      </c>
    </row>
    <row r="11" spans="2:10" s="25" customFormat="1" ht="8.25">
      <c r="B11" s="24">
        <v>2025</v>
      </c>
      <c r="C11" s="25" t="s">
        <v>14</v>
      </c>
      <c r="D11" s="25" t="s">
        <v>15</v>
      </c>
      <c r="E11" s="36">
        <f>'[1]2025_Rohdaten'!B11</f>
        <v>563.51249499999994</v>
      </c>
      <c r="F11" s="36">
        <f>'[1]2025_Rohdaten'!C11</f>
        <v>4210.8418410000004</v>
      </c>
      <c r="G11" s="36">
        <f>'[1]2025_Rohdaten'!D11</f>
        <v>75.550521000000003</v>
      </c>
      <c r="H11" s="36">
        <f>'[1]2025_Rohdaten'!E11</f>
        <v>650.87234100000001</v>
      </c>
      <c r="I11" s="36">
        <f>'[1]2025_Rohdaten'!F11</f>
        <v>13.407071</v>
      </c>
      <c r="J11" s="36">
        <f>'[1]2025_Rohdaten'!G11</f>
        <v>15.45706</v>
      </c>
    </row>
    <row r="12" spans="2:10" s="25" customFormat="1" ht="8.25">
      <c r="B12" s="24">
        <v>2025</v>
      </c>
      <c r="C12" s="25" t="s">
        <v>14</v>
      </c>
      <c r="D12" s="25" t="s">
        <v>16</v>
      </c>
      <c r="E12" s="36">
        <f>'[1]2025_Rohdaten'!B12</f>
        <v>291.55767300000002</v>
      </c>
      <c r="F12" s="36">
        <f>'[1]2025_Rohdaten'!C12</f>
        <v>2117.411216</v>
      </c>
      <c r="G12" s="36">
        <f>'[1]2025_Rohdaten'!D12</f>
        <v>44.498083000000001</v>
      </c>
      <c r="H12" s="36">
        <f>'[1]2025_Rohdaten'!E12</f>
        <v>335.08576799999997</v>
      </c>
      <c r="I12" s="36">
        <f>'[1]2025_Rohdaten'!F12</f>
        <v>15.262188999999999</v>
      </c>
      <c r="J12" s="36">
        <f>'[1]2025_Rohdaten'!G12</f>
        <v>15.825257000000001</v>
      </c>
    </row>
    <row r="13" spans="2:10" s="25" customFormat="1" ht="8.25">
      <c r="B13" s="24">
        <v>2025</v>
      </c>
      <c r="C13" s="25" t="s">
        <v>14</v>
      </c>
      <c r="D13" s="25" t="s">
        <v>17</v>
      </c>
      <c r="E13" s="36">
        <f>'[1]2025_Rohdaten'!B13</f>
        <v>271.95482199999998</v>
      </c>
      <c r="F13" s="36">
        <f>'[1]2025_Rohdaten'!C13</f>
        <v>2093.430625</v>
      </c>
      <c r="G13" s="36">
        <f>'[1]2025_Rohdaten'!D13</f>
        <v>31.052437999999999</v>
      </c>
      <c r="H13" s="36">
        <f>'[1]2025_Rohdaten'!E13</f>
        <v>315.78657299999998</v>
      </c>
      <c r="I13" s="36">
        <f>'[1]2025_Rohdaten'!F13</f>
        <v>11.418234</v>
      </c>
      <c r="J13" s="36">
        <f>'[1]2025_Rohdaten'!G13</f>
        <v>15.084645</v>
      </c>
    </row>
    <row r="14" spans="2:10" s="25" customFormat="1" ht="8.25">
      <c r="B14" s="24">
        <v>2025</v>
      </c>
      <c r="C14" s="25" t="s">
        <v>18</v>
      </c>
      <c r="D14" s="25" t="s">
        <v>15</v>
      </c>
      <c r="E14" s="36">
        <f>'[1]2025_Rohdaten'!B14</f>
        <v>361.11754500000001</v>
      </c>
      <c r="F14" s="36">
        <f>'[1]2025_Rohdaten'!C14</f>
        <v>3052.163301</v>
      </c>
      <c r="G14" s="36">
        <f>'[1]2025_Rohdaten'!D14</f>
        <v>32.134946999999997</v>
      </c>
      <c r="H14" s="36">
        <f>'[1]2025_Rohdaten'!E14</f>
        <v>259.21451500000001</v>
      </c>
      <c r="I14" s="36">
        <f>'[1]2025_Rohdaten'!F14</f>
        <v>8.8987499999999997</v>
      </c>
      <c r="J14" s="36">
        <f>'[1]2025_Rohdaten'!G14</f>
        <v>8.4928129999999999</v>
      </c>
    </row>
    <row r="15" spans="2:10" s="25" customFormat="1" ht="8.25">
      <c r="B15" s="24">
        <v>2025</v>
      </c>
      <c r="C15" s="25" t="s">
        <v>18</v>
      </c>
      <c r="D15" s="25" t="s">
        <v>16</v>
      </c>
      <c r="E15" s="36">
        <f>'[1]2025_Rohdaten'!B15</f>
        <v>183.59249</v>
      </c>
      <c r="F15" s="36">
        <f>'[1]2025_Rohdaten'!C15</f>
        <v>1529.4529849999999</v>
      </c>
      <c r="G15" s="36">
        <f>'[1]2025_Rohdaten'!D15</f>
        <v>17.232510999999999</v>
      </c>
      <c r="H15" s="36">
        <f>'[1]2025_Rohdaten'!E15</f>
        <v>123.36502</v>
      </c>
      <c r="I15" s="36">
        <f>'[1]2025_Rohdaten'!F15</f>
        <v>9.3862830000000006</v>
      </c>
      <c r="J15" s="36">
        <f>'[1]2025_Rohdaten'!G15</f>
        <v>8.0659569999999992</v>
      </c>
    </row>
    <row r="16" spans="2:10" s="25" customFormat="1" ht="8.25">
      <c r="B16" s="24">
        <v>2025</v>
      </c>
      <c r="C16" s="25" t="s">
        <v>18</v>
      </c>
      <c r="D16" s="25" t="s">
        <v>17</v>
      </c>
      <c r="E16" s="36">
        <f>'[1]2025_Rohdaten'!B16</f>
        <v>177.52505500000001</v>
      </c>
      <c r="F16" s="36">
        <f>'[1]2025_Rohdaten'!C16</f>
        <v>1522.7103159999999</v>
      </c>
      <c r="G16" s="36">
        <f>'[1]2025_Rohdaten'!D16</f>
        <v>14.902436</v>
      </c>
      <c r="H16" s="36">
        <f>'[1]2025_Rohdaten'!E16</f>
        <v>135.84949499999999</v>
      </c>
      <c r="I16" s="36">
        <f>'[1]2025_Rohdaten'!F16</f>
        <v>8.3945539999999994</v>
      </c>
      <c r="J16" s="36">
        <f>'[1]2025_Rohdaten'!G16</f>
        <v>8.9215590000000002</v>
      </c>
    </row>
    <row r="17" spans="2:10" s="25" customFormat="1" ht="8.25">
      <c r="B17" s="24">
        <v>2025</v>
      </c>
      <c r="C17" s="25" t="s">
        <v>19</v>
      </c>
      <c r="D17" s="25" t="s">
        <v>15</v>
      </c>
      <c r="E17" s="36">
        <f>'[1]2025_Rohdaten'!B17</f>
        <v>202.39494999999999</v>
      </c>
      <c r="F17" s="36">
        <f>'[1]2025_Rohdaten'!C17</f>
        <v>1158.6785400000001</v>
      </c>
      <c r="G17" s="36">
        <f>'[1]2025_Rohdaten'!D17</f>
        <v>43.415573999999999</v>
      </c>
      <c r="H17" s="36">
        <f>'[1]2025_Rohdaten'!E17</f>
        <v>391.657826</v>
      </c>
      <c r="I17" s="36">
        <f>'[1]2025_Rohdaten'!F17</f>
        <v>21.450918000000001</v>
      </c>
      <c r="J17" s="36">
        <f>'[1]2025_Rohdaten'!G17</f>
        <v>33.802112999999999</v>
      </c>
    </row>
    <row r="18" spans="2:10" s="25" customFormat="1" ht="8.25">
      <c r="B18" s="24">
        <v>2025</v>
      </c>
      <c r="C18" s="25" t="s">
        <v>19</v>
      </c>
      <c r="D18" s="25" t="s">
        <v>16</v>
      </c>
      <c r="E18" s="36">
        <f>'[1]2025_Rohdaten'!B18</f>
        <v>107.965183</v>
      </c>
      <c r="F18" s="36">
        <f>'[1]2025_Rohdaten'!C18</f>
        <v>587.95823099999996</v>
      </c>
      <c r="G18" s="36">
        <f>'[1]2025_Rohdaten'!D18</f>
        <v>27.265571999999999</v>
      </c>
      <c r="H18" s="36">
        <f>'[1]2025_Rohdaten'!E18</f>
        <v>211.72074799999999</v>
      </c>
      <c r="I18" s="36">
        <f>'[1]2025_Rohdaten'!F18</f>
        <v>25.254041000000001</v>
      </c>
      <c r="J18" s="36">
        <f>'[1]2025_Rohdaten'!G18</f>
        <v>36.009487999999997</v>
      </c>
    </row>
    <row r="19" spans="2:10" s="25" customFormat="1" ht="8.25">
      <c r="B19" s="24">
        <v>2025</v>
      </c>
      <c r="C19" s="25" t="s">
        <v>19</v>
      </c>
      <c r="D19" s="25" t="s">
        <v>17</v>
      </c>
      <c r="E19" s="36">
        <f>'[1]2025_Rohdaten'!B19</f>
        <v>94.429766999999998</v>
      </c>
      <c r="F19" s="36">
        <f>'[1]2025_Rohdaten'!C19</f>
        <v>570.72030900000004</v>
      </c>
      <c r="G19" s="36">
        <f>'[1]2025_Rohdaten'!D19</f>
        <v>16.150002000000001</v>
      </c>
      <c r="H19" s="36">
        <f>'[1]2025_Rohdaten'!E19</f>
        <v>179.93707800000001</v>
      </c>
      <c r="I19" s="36">
        <f>'[1]2025_Rohdaten'!F19</f>
        <v>17.10266</v>
      </c>
      <c r="J19" s="36">
        <f>'[1]2025_Rohdaten'!G19</f>
        <v>31.528065999999999</v>
      </c>
    </row>
    <row r="20" spans="2:10" s="25" customFormat="1" ht="8.25">
      <c r="B20" s="24">
        <v>2024</v>
      </c>
      <c r="C20" s="25" t="s">
        <v>14</v>
      </c>
      <c r="D20" s="25" t="s">
        <v>15</v>
      </c>
      <c r="E20" s="36">
        <f>'[1]2024_Rohdaten'!B11</f>
        <v>581.27846799999998</v>
      </c>
      <c r="F20" s="36">
        <f>'[1]2024_Rohdaten'!C11</f>
        <v>4225.4592910000001</v>
      </c>
      <c r="G20" s="36">
        <f>'[1]2024_Rohdaten'!D11</f>
        <v>85.762679000000006</v>
      </c>
      <c r="H20" s="36">
        <f>'[1]2024_Rohdaten'!E11</f>
        <v>765.13232900000003</v>
      </c>
      <c r="I20" s="36">
        <f>'[1]2024_Rohdaten'!F11</f>
        <v>14.754147</v>
      </c>
      <c r="J20" s="36">
        <f>'[1]2024_Rohdaten'!G11</f>
        <v>18.107672000000001</v>
      </c>
    </row>
    <row r="21" spans="2:10" s="25" customFormat="1" ht="8.25">
      <c r="B21" s="24">
        <v>2024</v>
      </c>
      <c r="C21" s="25" t="s">
        <v>14</v>
      </c>
      <c r="D21" s="25" t="s">
        <v>16</v>
      </c>
      <c r="E21" s="36">
        <f>'[1]2024_Rohdaten'!B12</f>
        <v>299.14718699999997</v>
      </c>
      <c r="F21" s="36">
        <f>'[1]2024_Rohdaten'!C12</f>
        <v>2122.7304730000001</v>
      </c>
      <c r="G21" s="36">
        <f>'[1]2024_Rohdaten'!D12</f>
        <v>53.365881000000002</v>
      </c>
      <c r="H21" s="36">
        <f>'[1]2024_Rohdaten'!E12</f>
        <v>382.69006100000001</v>
      </c>
      <c r="I21" s="36">
        <f>'[1]2024_Rohdaten'!F12</f>
        <v>17.839338999999999</v>
      </c>
      <c r="J21" s="36">
        <f>'[1]2024_Rohdaten'!G12</f>
        <v>18.028198</v>
      </c>
    </row>
    <row r="22" spans="2:10" s="25" customFormat="1" ht="8.25">
      <c r="B22" s="24">
        <v>2024</v>
      </c>
      <c r="C22" s="25" t="s">
        <v>14</v>
      </c>
      <c r="D22" s="25" t="s">
        <v>17</v>
      </c>
      <c r="E22" s="36">
        <f>'[1]2024_Rohdaten'!B13</f>
        <v>282.131281</v>
      </c>
      <c r="F22" s="36">
        <f>'[1]2024_Rohdaten'!C13</f>
        <v>2102.728818</v>
      </c>
      <c r="G22" s="36">
        <f>'[1]2024_Rohdaten'!D13</f>
        <v>32.396797999999997</v>
      </c>
      <c r="H22" s="36">
        <f>'[1]2024_Rohdaten'!E13</f>
        <v>382.44226800000001</v>
      </c>
      <c r="I22" s="36">
        <f>'[1]2024_Rohdaten'!F13</f>
        <v>11.482881000000001</v>
      </c>
      <c r="J22" s="36">
        <f>'[1]2024_Rohdaten'!G13</f>
        <v>18.187902999999999</v>
      </c>
    </row>
    <row r="23" spans="2:10" s="25" customFormat="1" ht="8.25">
      <c r="B23" s="24">
        <v>2024</v>
      </c>
      <c r="C23" s="25" t="s">
        <v>18</v>
      </c>
      <c r="D23" s="25" t="s">
        <v>15</v>
      </c>
      <c r="E23" s="36">
        <f>'[1]2024_Rohdaten'!B14</f>
        <v>382.071124</v>
      </c>
      <c r="F23" s="36">
        <f>'[1]2024_Rohdaten'!C14</f>
        <v>3079.5796759999998</v>
      </c>
      <c r="G23" s="36">
        <f>'[1]2024_Rohdaten'!D14</f>
        <v>39.997793000000001</v>
      </c>
      <c r="H23" s="36">
        <f>'[1]2024_Rohdaten'!E14</f>
        <v>352.887832</v>
      </c>
      <c r="I23" s="36">
        <f>'[1]2024_Rohdaten'!F14</f>
        <v>10.468677</v>
      </c>
      <c r="J23" s="36">
        <f>'[1]2024_Rohdaten'!G14</f>
        <v>11.458961</v>
      </c>
    </row>
    <row r="24" spans="2:10" s="25" customFormat="1" ht="8.25">
      <c r="B24" s="24">
        <v>2024</v>
      </c>
      <c r="C24" s="25" t="s">
        <v>18</v>
      </c>
      <c r="D24" s="25" t="s">
        <v>16</v>
      </c>
      <c r="E24" s="36">
        <f>'[1]2024_Rohdaten'!B15</f>
        <v>192.60028299999999</v>
      </c>
      <c r="F24" s="36">
        <f>'[1]2024_Rohdaten'!C15</f>
        <v>1546.9870249999999</v>
      </c>
      <c r="G24" s="36">
        <f>'[1]2024_Rohdaten'!D15</f>
        <v>24.143861999999999</v>
      </c>
      <c r="H24" s="36">
        <f>'[1]2024_Rohdaten'!E15</f>
        <v>167.28674899999999</v>
      </c>
      <c r="I24" s="36">
        <f>'[1]2024_Rohdaten'!F15</f>
        <v>12.535735000000001</v>
      </c>
      <c r="J24" s="36">
        <f>'[1]2024_Rohdaten'!G15</f>
        <v>10.813713999999999</v>
      </c>
    </row>
    <row r="25" spans="2:10" s="25" customFormat="1" ht="8.25">
      <c r="B25" s="24">
        <v>2024</v>
      </c>
      <c r="C25" s="25" t="s">
        <v>18</v>
      </c>
      <c r="D25" s="25" t="s">
        <v>17</v>
      </c>
      <c r="E25" s="36">
        <f>'[1]2024_Rohdaten'!B16</f>
        <v>189.47084100000001</v>
      </c>
      <c r="F25" s="36">
        <f>'[1]2024_Rohdaten'!C16</f>
        <v>1532.5926509999999</v>
      </c>
      <c r="G25" s="36">
        <f>'[1]2024_Rohdaten'!D16</f>
        <v>15.853930999999999</v>
      </c>
      <c r="H25" s="36">
        <f>'[1]2024_Rohdaten'!E16</f>
        <v>185.60108299999999</v>
      </c>
      <c r="I25" s="36">
        <f>'[1]2024_Rohdaten'!F16</f>
        <v>8.3674780000000002</v>
      </c>
      <c r="J25" s="36">
        <f>'[1]2024_Rohdaten'!G16</f>
        <v>12.110268</v>
      </c>
    </row>
    <row r="26" spans="2:10" s="25" customFormat="1" ht="8.25">
      <c r="B26" s="24">
        <v>2024</v>
      </c>
      <c r="C26" s="25" t="s">
        <v>19</v>
      </c>
      <c r="D26" s="25" t="s">
        <v>15</v>
      </c>
      <c r="E26" s="36">
        <f>'[1]2024_Rohdaten'!B17</f>
        <v>199.20734400000001</v>
      </c>
      <c r="F26" s="36">
        <f>'[1]2024_Rohdaten'!C17</f>
        <v>1145.8796150000001</v>
      </c>
      <c r="G26" s="36">
        <f>'[1]2024_Rohdaten'!D17</f>
        <v>45.764885999999997</v>
      </c>
      <c r="H26" s="36">
        <f>'[1]2024_Rohdaten'!E17</f>
        <v>412.24449700000002</v>
      </c>
      <c r="I26" s="36">
        <f>'[1]2024_Rohdaten'!F17</f>
        <v>22.973493000000001</v>
      </c>
      <c r="J26" s="36">
        <f>'[1]2024_Rohdaten'!G17</f>
        <v>35.976247999999998</v>
      </c>
    </row>
    <row r="27" spans="2:10" s="25" customFormat="1" ht="8.25">
      <c r="B27" s="24">
        <v>2024</v>
      </c>
      <c r="C27" s="25" t="s">
        <v>19</v>
      </c>
      <c r="D27" s="25" t="s">
        <v>16</v>
      </c>
      <c r="E27" s="36">
        <f>'[1]2024_Rohdaten'!B18</f>
        <v>106.546904</v>
      </c>
      <c r="F27" s="36">
        <f>'[1]2024_Rohdaten'!C18</f>
        <v>575.74344799999994</v>
      </c>
      <c r="G27" s="36">
        <f>'[1]2024_Rohdaten'!D18</f>
        <v>29.222019</v>
      </c>
      <c r="H27" s="36">
        <f>'[1]2024_Rohdaten'!E18</f>
        <v>215.403312</v>
      </c>
      <c r="I27" s="36">
        <f>'[1]2024_Rohdaten'!F18</f>
        <v>27.426437</v>
      </c>
      <c r="J27" s="36">
        <f>'[1]2024_Rohdaten'!G18</f>
        <v>37.413072</v>
      </c>
    </row>
    <row r="28" spans="2:10" s="25" customFormat="1" ht="8.25">
      <c r="B28" s="24">
        <v>2024</v>
      </c>
      <c r="C28" s="25" t="s">
        <v>19</v>
      </c>
      <c r="D28" s="25" t="s">
        <v>17</v>
      </c>
      <c r="E28" s="36">
        <f>'[1]2024_Rohdaten'!B19</f>
        <v>92.660439999999994</v>
      </c>
      <c r="F28" s="36">
        <f>'[1]2024_Rohdaten'!C19</f>
        <v>570.136167</v>
      </c>
      <c r="G28" s="36">
        <f>'[1]2024_Rohdaten'!D19</f>
        <v>16.542867000000001</v>
      </c>
      <c r="H28" s="36">
        <f>'[1]2024_Rohdaten'!E19</f>
        <v>196.841185</v>
      </c>
      <c r="I28" s="36">
        <f>'[1]2024_Rohdaten'!F19</f>
        <v>17.853214000000001</v>
      </c>
      <c r="J28" s="36">
        <f>'[1]2024_Rohdaten'!G19</f>
        <v>34.525292999999998</v>
      </c>
    </row>
    <row r="29" spans="2:10" s="25" customFormat="1" ht="8.25">
      <c r="B29" s="26">
        <v>2023</v>
      </c>
      <c r="C29" s="25" t="s">
        <v>14</v>
      </c>
      <c r="D29" s="25" t="s">
        <v>15</v>
      </c>
      <c r="E29" s="36">
        <f>'[1]2023_Rohdaten'!B11</f>
        <v>593.74429199999997</v>
      </c>
      <c r="F29" s="36">
        <f>'[1]2023_Rohdaten'!C11</f>
        <v>4226.963471</v>
      </c>
      <c r="G29" s="36">
        <f>'[1]2023_Rohdaten'!D11</f>
        <v>85.119185000000002</v>
      </c>
      <c r="H29" s="36">
        <f>'[1]2023_Rohdaten'!E11</f>
        <v>780.83077900000001</v>
      </c>
      <c r="I29" s="36">
        <f>'[1]2023_Rohdaten'!F11</f>
        <v>14.336001</v>
      </c>
      <c r="J29" s="36">
        <f>'[1]2023_Rohdaten'!G11</f>
        <v>18.472617</v>
      </c>
    </row>
    <row r="30" spans="2:10" s="25" customFormat="1" ht="8.25">
      <c r="B30" s="26">
        <v>2023</v>
      </c>
      <c r="C30" s="25" t="s">
        <v>14</v>
      </c>
      <c r="D30" s="25" t="s">
        <v>16</v>
      </c>
      <c r="E30" s="36">
        <f>'[1]2023_Rohdaten'!B12</f>
        <v>301.280888</v>
      </c>
      <c r="F30" s="36">
        <f>'[1]2023_Rohdaten'!C12</f>
        <v>2120.5386170000002</v>
      </c>
      <c r="G30" s="36">
        <f>'[1]2023_Rohdaten'!D12</f>
        <v>51.275933999999999</v>
      </c>
      <c r="H30" s="36">
        <f>'[1]2023_Rohdaten'!E12</f>
        <v>386.35118699999998</v>
      </c>
      <c r="I30" s="36">
        <f>'[1]2023_Rohdaten'!F12</f>
        <v>17.019311999999999</v>
      </c>
      <c r="J30" s="36">
        <f>'[1]2023_Rohdaten'!G12</f>
        <v>18.219484000000001</v>
      </c>
    </row>
    <row r="31" spans="2:10" s="25" customFormat="1" ht="8.25">
      <c r="B31" s="26">
        <v>2023</v>
      </c>
      <c r="C31" s="25" t="s">
        <v>14</v>
      </c>
      <c r="D31" s="25" t="s">
        <v>17</v>
      </c>
      <c r="E31" s="36">
        <f>'[1]2023_Rohdaten'!B13</f>
        <v>292.46340400000003</v>
      </c>
      <c r="F31" s="36">
        <f>'[1]2023_Rohdaten'!C13</f>
        <v>2106.4248539999999</v>
      </c>
      <c r="G31" s="36">
        <f>'[1]2023_Rohdaten'!D13</f>
        <v>33.843251000000002</v>
      </c>
      <c r="H31" s="36">
        <f>'[1]2023_Rohdaten'!E13</f>
        <v>394.47959200000003</v>
      </c>
      <c r="I31" s="36">
        <f>'[1]2023_Rohdaten'!F13</f>
        <v>11.57179</v>
      </c>
      <c r="J31" s="36">
        <f>'[1]2023_Rohdaten'!G13</f>
        <v>18.727447000000002</v>
      </c>
    </row>
    <row r="32" spans="2:10" s="25" customFormat="1" ht="8.25">
      <c r="B32" s="26">
        <v>2023</v>
      </c>
      <c r="C32" s="25" t="s">
        <v>18</v>
      </c>
      <c r="D32" s="25" t="s">
        <v>15</v>
      </c>
      <c r="E32" s="36">
        <f>'[1]2023_Rohdaten'!B14</f>
        <v>404.98306100000002</v>
      </c>
      <c r="F32" s="36">
        <f>'[1]2023_Rohdaten'!C14</f>
        <v>3161.2586980000001</v>
      </c>
      <c r="G32" s="36">
        <f>'[1]2023_Rohdaten'!D14</f>
        <v>41.652287000000001</v>
      </c>
      <c r="H32" s="36">
        <f>'[1]2023_Rohdaten'!E14</f>
        <v>389.62146999999999</v>
      </c>
      <c r="I32" s="36">
        <f>'[1]2023_Rohdaten'!F14</f>
        <v>10.284945</v>
      </c>
      <c r="J32" s="36">
        <f>'[1]2023_Rohdaten'!G14</f>
        <v>12.324884000000001</v>
      </c>
    </row>
    <row r="33" spans="2:10" s="25" customFormat="1" ht="8.25">
      <c r="B33" s="26">
        <v>2023</v>
      </c>
      <c r="C33" s="25" t="s">
        <v>18</v>
      </c>
      <c r="D33" s="25" t="s">
        <v>16</v>
      </c>
      <c r="E33" s="36">
        <f>'[1]2023_Rohdaten'!B15</f>
        <v>203.14160899999999</v>
      </c>
      <c r="F33" s="36">
        <f>'[1]2023_Rohdaten'!C15</f>
        <v>1579.784566</v>
      </c>
      <c r="G33" s="36">
        <f>'[1]2023_Rohdaten'!D15</f>
        <v>22.880966000000001</v>
      </c>
      <c r="H33" s="36">
        <f>'[1]2023_Rohdaten'!E15</f>
        <v>183.02580800000001</v>
      </c>
      <c r="I33" s="36">
        <f>'[1]2023_Rohdaten'!F15</f>
        <v>11.263555</v>
      </c>
      <c r="J33" s="36">
        <f>'[1]2023_Rohdaten'!G15</f>
        <v>11.585492</v>
      </c>
    </row>
    <row r="34" spans="2:10" s="25" customFormat="1" ht="8.25">
      <c r="B34" s="26">
        <v>2023</v>
      </c>
      <c r="C34" s="25" t="s">
        <v>18</v>
      </c>
      <c r="D34" s="25" t="s">
        <v>17</v>
      </c>
      <c r="E34" s="36">
        <f>'[1]2023_Rohdaten'!B16</f>
        <v>201.841452</v>
      </c>
      <c r="F34" s="36">
        <f>'[1]2023_Rohdaten'!C16</f>
        <v>1581.4741320000001</v>
      </c>
      <c r="G34" s="36">
        <f>'[1]2023_Rohdaten'!D16</f>
        <v>18.771321</v>
      </c>
      <c r="H34" s="36">
        <f>'[1]2023_Rohdaten'!E16</f>
        <v>206.595662</v>
      </c>
      <c r="I34" s="36">
        <f>'[1]2023_Rohdaten'!F16</f>
        <v>9.3000330000000009</v>
      </c>
      <c r="J34" s="36">
        <f>'[1]2023_Rohdaten'!G16</f>
        <v>13.063487</v>
      </c>
    </row>
    <row r="35" spans="2:10" s="25" customFormat="1" ht="8.25">
      <c r="B35" s="26">
        <v>2023</v>
      </c>
      <c r="C35" s="25" t="s">
        <v>19</v>
      </c>
      <c r="D35" s="25" t="s">
        <v>15</v>
      </c>
      <c r="E35" s="36">
        <f>'[1]2023_Rohdaten'!B17</f>
        <v>188.76123100000001</v>
      </c>
      <c r="F35" s="36">
        <f>'[1]2023_Rohdaten'!C17</f>
        <v>1065.7047729999999</v>
      </c>
      <c r="G35" s="36">
        <f>'[1]2023_Rohdaten'!D17</f>
        <v>43.466898</v>
      </c>
      <c r="H35" s="36">
        <f>'[1]2023_Rohdaten'!E17</f>
        <v>391.20930900000002</v>
      </c>
      <c r="I35" s="36">
        <f>'[1]2023_Rohdaten'!F17</f>
        <v>23.027450000000002</v>
      </c>
      <c r="J35" s="36">
        <f>'[1]2023_Rohdaten'!G17</f>
        <v>36.708976</v>
      </c>
    </row>
    <row r="36" spans="2:10" s="25" customFormat="1" ht="8.25">
      <c r="B36" s="26">
        <v>2023</v>
      </c>
      <c r="C36" s="25" t="s">
        <v>19</v>
      </c>
      <c r="D36" s="25" t="s">
        <v>16</v>
      </c>
      <c r="E36" s="36">
        <f>'[1]2023_Rohdaten'!B18</f>
        <v>98.139279000000002</v>
      </c>
      <c r="F36" s="36">
        <f>'[1]2023_Rohdaten'!C18</f>
        <v>540.754051</v>
      </c>
      <c r="G36" s="36">
        <f>'[1]2023_Rohdaten'!D18</f>
        <v>28.394967999999999</v>
      </c>
      <c r="H36" s="36">
        <f>'[1]2023_Rohdaten'!E18</f>
        <v>203.325379</v>
      </c>
      <c r="I36" s="36">
        <f>'[1]2023_Rohdaten'!F18</f>
        <v>28.933337000000002</v>
      </c>
      <c r="J36" s="36">
        <f>'[1]2023_Rohdaten'!G18</f>
        <v>37.600343000000002</v>
      </c>
    </row>
    <row r="37" spans="2:10" s="25" customFormat="1" ht="8.25">
      <c r="B37" s="26">
        <v>2023</v>
      </c>
      <c r="C37" s="25" t="s">
        <v>19</v>
      </c>
      <c r="D37" s="25" t="s">
        <v>17</v>
      </c>
      <c r="E37" s="36">
        <f>'[1]2023_Rohdaten'!B19</f>
        <v>90.621951999999993</v>
      </c>
      <c r="F37" s="36">
        <f>'[1]2023_Rohdaten'!C19</f>
        <v>524.95072200000004</v>
      </c>
      <c r="G37" s="36">
        <f>'[1]2023_Rohdaten'!D19</f>
        <v>15.07193</v>
      </c>
      <c r="H37" s="36">
        <f>'[1]2023_Rohdaten'!E19</f>
        <v>187.88392999999999</v>
      </c>
      <c r="I37" s="36">
        <f>'[1]2023_Rohdaten'!F19</f>
        <v>16.631654999999999</v>
      </c>
      <c r="J37" s="36">
        <f>'[1]2023_Rohdaten'!G19</f>
        <v>35.790774999999996</v>
      </c>
    </row>
    <row r="38" spans="2:10" s="25" customFormat="1" ht="8.25">
      <c r="B38" s="26">
        <v>2022</v>
      </c>
      <c r="C38" s="25" t="s">
        <v>14</v>
      </c>
      <c r="D38" s="25" t="s">
        <v>15</v>
      </c>
      <c r="E38" s="36">
        <f>'[1]2022_Rohdaten'!B11</f>
        <v>598.09607400000004</v>
      </c>
      <c r="F38" s="36">
        <f>'[1]2022_Rohdaten'!C11</f>
        <v>4208.8865130000004</v>
      </c>
      <c r="G38" s="36">
        <f>'[1]2022_Rohdaten'!D11</f>
        <v>78.577333999999993</v>
      </c>
      <c r="H38" s="36">
        <f>'[1]2022_Rohdaten'!E11</f>
        <v>795.09091799999999</v>
      </c>
      <c r="I38" s="27">
        <f>'[1]2022_Rohdaten'!F11</f>
        <v>13.137912</v>
      </c>
      <c r="J38" s="27">
        <f>'[1]2022_Rohdaten'!G11</f>
        <v>18.890765999999999</v>
      </c>
    </row>
    <row r="39" spans="2:10" s="25" customFormat="1" ht="8.25">
      <c r="B39" s="26">
        <v>2022</v>
      </c>
      <c r="C39" s="25" t="s">
        <v>14</v>
      </c>
      <c r="D39" s="25" t="s">
        <v>16</v>
      </c>
      <c r="E39" s="36">
        <f>'[1]2022_Rohdaten'!B12</f>
        <v>304.02389199999999</v>
      </c>
      <c r="F39" s="36">
        <f>'[1]2022_Rohdaten'!C12</f>
        <v>2111.8473300000001</v>
      </c>
      <c r="G39" s="36">
        <f>'[1]2022_Rohdaten'!D12</f>
        <v>44.418998000000002</v>
      </c>
      <c r="H39" s="36">
        <f>'[1]2022_Rohdaten'!E12</f>
        <v>396.750519</v>
      </c>
      <c r="I39" s="27">
        <f>'[1]2022_Rohdaten'!F12</f>
        <v>14.610364000000001</v>
      </c>
      <c r="J39" s="27">
        <f>'[1]2022_Rohdaten'!G12</f>
        <v>18.786894</v>
      </c>
    </row>
    <row r="40" spans="2:10" s="25" customFormat="1" ht="8.25">
      <c r="B40" s="26">
        <v>2022</v>
      </c>
      <c r="C40" s="25" t="s">
        <v>14</v>
      </c>
      <c r="D40" s="25" t="s">
        <v>17</v>
      </c>
      <c r="E40" s="36">
        <f>'[1]2022_Rohdaten'!B13</f>
        <v>294.072182</v>
      </c>
      <c r="F40" s="36">
        <f>'[1]2022_Rohdaten'!C13</f>
        <v>2097.0391829999999</v>
      </c>
      <c r="G40" s="36">
        <f>'[1]2022_Rohdaten'!D13</f>
        <v>34.158335999999998</v>
      </c>
      <c r="H40" s="36">
        <f>'[1]2022_Rohdaten'!E13</f>
        <v>398.34039899999999</v>
      </c>
      <c r="I40" s="27">
        <f>'[1]2022_Rohdaten'!F13</f>
        <v>11.615629999999999</v>
      </c>
      <c r="J40" s="27">
        <f>'[1]2022_Rohdaten'!G13</f>
        <v>18.995372</v>
      </c>
    </row>
    <row r="41" spans="2:10" s="25" customFormat="1" ht="8.25">
      <c r="B41" s="26">
        <v>2022</v>
      </c>
      <c r="C41" s="25" t="s">
        <v>18</v>
      </c>
      <c r="D41" s="25" t="s">
        <v>15</v>
      </c>
      <c r="E41" s="36">
        <f>'[1]2022_Rohdaten'!B14</f>
        <v>425.16594300000003</v>
      </c>
      <c r="F41" s="36">
        <f>'[1]2022_Rohdaten'!C14</f>
        <v>3175.5298630000002</v>
      </c>
      <c r="G41" s="36">
        <f>'[1]2022_Rohdaten'!D14</f>
        <v>41.260734999999997</v>
      </c>
      <c r="H41" s="36">
        <f>'[1]2022_Rohdaten'!E14</f>
        <v>419.421604</v>
      </c>
      <c r="I41" s="27">
        <f>'[1]2022_Rohdaten'!F14</f>
        <v>9.7046189999999992</v>
      </c>
      <c r="J41" s="27">
        <f>'[1]2022_Rohdaten'!G14</f>
        <v>13.207924999999999</v>
      </c>
    </row>
    <row r="42" spans="2:10" s="25" customFormat="1" ht="8.25">
      <c r="B42" s="26">
        <v>2022</v>
      </c>
      <c r="C42" s="25" t="s">
        <v>18</v>
      </c>
      <c r="D42" s="25" t="s">
        <v>16</v>
      </c>
      <c r="E42" s="36">
        <f>'[1]2022_Rohdaten'!B15</f>
        <v>213.72658000000001</v>
      </c>
      <c r="F42" s="36">
        <f>'[1]2022_Rohdaten'!C15</f>
        <v>1584.246046</v>
      </c>
      <c r="G42" s="36">
        <f>'[1]2022_Rohdaten'!D15</f>
        <v>21.353016</v>
      </c>
      <c r="H42" s="36">
        <f>'[1]2022_Rohdaten'!E15</f>
        <v>198.223061</v>
      </c>
      <c r="I42" s="27">
        <f>'[1]2022_Rohdaten'!F15</f>
        <v>9.9908099999999997</v>
      </c>
      <c r="J42" s="27">
        <f>'[1]2022_Rohdaten'!G15</f>
        <v>12.512138999999999</v>
      </c>
    </row>
    <row r="43" spans="2:10" s="25" customFormat="1" ht="8.25">
      <c r="B43" s="26">
        <v>2022</v>
      </c>
      <c r="C43" s="25" t="s">
        <v>18</v>
      </c>
      <c r="D43" s="25" t="s">
        <v>17</v>
      </c>
      <c r="E43" s="36">
        <f>'[1]2022_Rohdaten'!B16</f>
        <v>211.43936299999999</v>
      </c>
      <c r="F43" s="36">
        <f>'[1]2022_Rohdaten'!C16</f>
        <v>1591.283817</v>
      </c>
      <c r="G43" s="36">
        <f>'[1]2022_Rohdaten'!D16</f>
        <v>19.907719</v>
      </c>
      <c r="H43" s="36">
        <f>'[1]2022_Rohdaten'!E16</f>
        <v>221.198543</v>
      </c>
      <c r="I43" s="27">
        <f>'[1]2022_Rohdaten'!F16</f>
        <v>9.4153319999999994</v>
      </c>
      <c r="J43" s="27">
        <f>'[1]2022_Rohdaten'!G16</f>
        <v>13.900634</v>
      </c>
    </row>
    <row r="44" spans="2:10" s="25" customFormat="1" ht="8.25">
      <c r="B44" s="26">
        <v>2022</v>
      </c>
      <c r="C44" s="25" t="s">
        <v>19</v>
      </c>
      <c r="D44" s="25" t="s">
        <v>15</v>
      </c>
      <c r="E44" s="36">
        <f>'[1]2022_Rohdaten'!B17</f>
        <v>172.93013099999999</v>
      </c>
      <c r="F44" s="36">
        <f>'[1]2022_Rohdaten'!C17</f>
        <v>1033.3566499999999</v>
      </c>
      <c r="G44" s="36">
        <f>'[1]2022_Rohdaten'!D17</f>
        <v>37.316598999999997</v>
      </c>
      <c r="H44" s="36">
        <f>'[1]2022_Rohdaten'!E17</f>
        <v>375.66931399999999</v>
      </c>
      <c r="I44" s="27">
        <f>'[1]2022_Rohdaten'!F17</f>
        <v>21.579003</v>
      </c>
      <c r="J44" s="27">
        <f>'[1]2022_Rohdaten'!G17</f>
        <v>36.354275000000001</v>
      </c>
    </row>
    <row r="45" spans="2:10" s="25" customFormat="1" ht="8.25">
      <c r="B45" s="26">
        <v>2022</v>
      </c>
      <c r="C45" s="25" t="s">
        <v>19</v>
      </c>
      <c r="D45" s="25" t="s">
        <v>16</v>
      </c>
      <c r="E45" s="36">
        <f>'[1]2022_Rohdaten'!B18</f>
        <v>90.297312000000005</v>
      </c>
      <c r="F45" s="36">
        <f>'[1]2022_Rohdaten'!C18</f>
        <v>527.60128399999996</v>
      </c>
      <c r="G45" s="36">
        <f>'[1]2022_Rohdaten'!D18</f>
        <v>23.065982000000002</v>
      </c>
      <c r="H45" s="36">
        <f>'[1]2022_Rohdaten'!E18</f>
        <v>198.527458</v>
      </c>
      <c r="I45" s="27">
        <f>'[1]2022_Rohdaten'!F18</f>
        <v>25.544484000000001</v>
      </c>
      <c r="J45" s="27">
        <f>'[1]2022_Rohdaten'!G18</f>
        <v>37.628312000000001</v>
      </c>
    </row>
    <row r="46" spans="2:10" s="25" customFormat="1" ht="8.25">
      <c r="B46" s="26">
        <v>2022</v>
      </c>
      <c r="C46" s="25" t="s">
        <v>19</v>
      </c>
      <c r="D46" s="25" t="s">
        <v>17</v>
      </c>
      <c r="E46" s="36">
        <f>'[1]2022_Rohdaten'!B19</f>
        <v>82.632818999999998</v>
      </c>
      <c r="F46" s="36">
        <f>'[1]2022_Rohdaten'!C19</f>
        <v>505.75536599999998</v>
      </c>
      <c r="G46" s="36">
        <f>'[1]2022_Rohdaten'!D19</f>
        <v>14.250617</v>
      </c>
      <c r="H46" s="36">
        <f>'[1]2022_Rohdaten'!E19</f>
        <v>177.14185599999999</v>
      </c>
      <c r="I46" s="27">
        <f>'[1]2022_Rohdaten'!F19</f>
        <v>17.245711</v>
      </c>
      <c r="J46" s="27">
        <f>'[1]2022_Rohdaten'!G19</f>
        <v>35.025205</v>
      </c>
    </row>
    <row r="47" spans="2:10" s="37" customFormat="1" ht="8.25" customHeight="1">
      <c r="B47" s="26">
        <v>2021</v>
      </c>
      <c r="C47" s="25" t="s">
        <v>14</v>
      </c>
      <c r="D47" s="25" t="s">
        <v>15</v>
      </c>
      <c r="E47" s="36">
        <f>'[1]2021_Rohdaten'!B11</f>
        <v>592.18917499999998</v>
      </c>
      <c r="F47" s="36">
        <f>'[1]2021_Rohdaten'!C11</f>
        <v>4181.3154869999998</v>
      </c>
      <c r="G47" s="36">
        <f>'[1]2021_Rohdaten'!D11</f>
        <v>73.354500000000002</v>
      </c>
      <c r="H47" s="36">
        <f>'[1]2021_Rohdaten'!E11</f>
        <v>785.19937200000004</v>
      </c>
      <c r="I47" s="27">
        <f>'[1]2021_Rohdaten'!F11</f>
        <v>12.387005</v>
      </c>
      <c r="J47" s="27">
        <f>'[1]2021_Rohdaten'!G11</f>
        <v>18.778763999999999</v>
      </c>
    </row>
    <row r="48" spans="2:10" s="37" customFormat="1" ht="8.25" customHeight="1">
      <c r="B48" s="26">
        <v>2021</v>
      </c>
      <c r="C48" s="25" t="s">
        <v>14</v>
      </c>
      <c r="D48" s="25" t="s">
        <v>16</v>
      </c>
      <c r="E48" s="36">
        <f>'[1]2021_Rohdaten'!B12</f>
        <v>302.43057199999998</v>
      </c>
      <c r="F48" s="36">
        <f>'[1]2021_Rohdaten'!C12</f>
        <v>2107.382208</v>
      </c>
      <c r="G48" s="36">
        <f>'[1]2021_Rohdaten'!D12</f>
        <v>42.042909000000002</v>
      </c>
      <c r="H48" s="36">
        <f>'[1]2021_Rohdaten'!E12</f>
        <v>390.46539000000001</v>
      </c>
      <c r="I48" s="27">
        <f>'[1]2021_Rohdaten'!F12</f>
        <v>13.901673000000001</v>
      </c>
      <c r="J48" s="27">
        <f>'[1]2021_Rohdaten'!G12</f>
        <v>18.528455999999998</v>
      </c>
    </row>
    <row r="49" spans="1:13" s="38" customFormat="1" ht="8.25" customHeight="1">
      <c r="B49" s="26">
        <v>2021</v>
      </c>
      <c r="C49" s="25" t="s">
        <v>14</v>
      </c>
      <c r="D49" s="25" t="s">
        <v>17</v>
      </c>
      <c r="E49" s="36">
        <f>'[1]2021_Rohdaten'!B13</f>
        <v>289.75860299999999</v>
      </c>
      <c r="F49" s="36">
        <f>'[1]2021_Rohdaten'!C13</f>
        <v>2073.9332789999999</v>
      </c>
      <c r="G49" s="36">
        <f>'[1]2021_Rohdaten'!D13</f>
        <v>31.311591</v>
      </c>
      <c r="H49" s="36">
        <f>'[1]2021_Rohdaten'!E13</f>
        <v>394.73398200000003</v>
      </c>
      <c r="I49" s="27">
        <f>'[1]2021_Rohdaten'!F13</f>
        <v>10.806094999999999</v>
      </c>
      <c r="J49" s="27">
        <f>'[1]2021_Rohdaten'!G13</f>
        <v>19.033109</v>
      </c>
      <c r="K49" s="39"/>
      <c r="L49" s="39"/>
    </row>
    <row r="50" spans="1:13" s="38" customFormat="1" ht="8.25" customHeight="1">
      <c r="B50" s="26">
        <v>2021</v>
      </c>
      <c r="C50" s="25" t="s">
        <v>18</v>
      </c>
      <c r="D50" s="25" t="s">
        <v>15</v>
      </c>
      <c r="E50" s="36">
        <f>'[1]2021_Rohdaten'!B14</f>
        <v>424.58570900000001</v>
      </c>
      <c r="F50" s="36">
        <f>'[1]2021_Rohdaten'!C14</f>
        <v>3197.6875239999999</v>
      </c>
      <c r="G50" s="36">
        <f>'[1]2021_Rohdaten'!D14</f>
        <v>39.821219999999997</v>
      </c>
      <c r="H50" s="36">
        <f>'[1]2021_Rohdaten'!E14</f>
        <v>420.41152299999999</v>
      </c>
      <c r="I50" s="27">
        <f>'[1]2021_Rohdaten'!F14</f>
        <v>9.3788409999999995</v>
      </c>
      <c r="J50" s="27">
        <f>'[1]2021_Rohdaten'!G14</f>
        <v>13.147361</v>
      </c>
      <c r="K50" s="40"/>
      <c r="L50" s="40"/>
    </row>
    <row r="51" spans="1:13" s="38" customFormat="1" ht="8.25" customHeight="1">
      <c r="B51" s="26">
        <v>2021</v>
      </c>
      <c r="C51" s="25" t="s">
        <v>18</v>
      </c>
      <c r="D51" s="25" t="s">
        <v>16</v>
      </c>
      <c r="E51" s="36">
        <f>'[1]2021_Rohdaten'!B15</f>
        <v>211.81081399999999</v>
      </c>
      <c r="F51" s="36">
        <f>'[1]2021_Rohdaten'!C15</f>
        <v>1599.2633499999999</v>
      </c>
      <c r="G51" s="36">
        <f>'[1]2021_Rohdaten'!D15</f>
        <v>22.064233000000002</v>
      </c>
      <c r="H51" s="36">
        <f>'[1]2021_Rohdaten'!E15</f>
        <v>196.72188600000001</v>
      </c>
      <c r="I51" s="27">
        <f>'[1]2021_Rohdaten'!F15</f>
        <v>10.416952999999999</v>
      </c>
      <c r="J51" s="27">
        <f>'[1]2021_Rohdaten'!G15</f>
        <v>12.300781000000001</v>
      </c>
      <c r="K51" s="41"/>
      <c r="L51" s="41"/>
    </row>
    <row r="52" spans="1:13" s="43" customFormat="1" ht="8.25" customHeight="1">
      <c r="A52" s="42"/>
      <c r="B52" s="26">
        <v>2021</v>
      </c>
      <c r="C52" s="25" t="s">
        <v>18</v>
      </c>
      <c r="D52" s="25" t="s">
        <v>17</v>
      </c>
      <c r="E52" s="36">
        <f>'[1]2021_Rohdaten'!B16</f>
        <v>212.77489499999999</v>
      </c>
      <c r="F52" s="36">
        <f>'[1]2021_Rohdaten'!C16</f>
        <v>1598.424174</v>
      </c>
      <c r="G52" s="36">
        <f>'[1]2021_Rohdaten'!D16</f>
        <v>17.756986999999999</v>
      </c>
      <c r="H52" s="36">
        <f>'[1]2021_Rohdaten'!E16</f>
        <v>223.689637</v>
      </c>
      <c r="I52" s="27">
        <f>'[1]2021_Rohdaten'!F16</f>
        <v>8.3454329999999999</v>
      </c>
      <c r="J52" s="27">
        <f>'[1]2021_Rohdaten'!G16</f>
        <v>13.994384999999999</v>
      </c>
      <c r="K52" s="42"/>
      <c r="L52" s="42"/>
      <c r="M52" s="42"/>
    </row>
    <row r="53" spans="1:13" s="43" customFormat="1" ht="8.25" customHeight="1">
      <c r="B53" s="26">
        <v>2021</v>
      </c>
      <c r="C53" s="25" t="s">
        <v>19</v>
      </c>
      <c r="D53" s="25" t="s">
        <v>15</v>
      </c>
      <c r="E53" s="36">
        <f>'[1]2021_Rohdaten'!B17</f>
        <v>167.603466</v>
      </c>
      <c r="F53" s="36">
        <f>'[1]2021_Rohdaten'!C17</f>
        <v>983.62796300000002</v>
      </c>
      <c r="G53" s="36">
        <f>'[1]2021_Rohdaten'!D17</f>
        <v>33.533279999999998</v>
      </c>
      <c r="H53" s="36">
        <f>'[1]2021_Rohdaten'!E17</f>
        <v>364.78784899999999</v>
      </c>
      <c r="I53" s="27">
        <f>'[1]2021_Rohdaten'!F17</f>
        <v>20.00751</v>
      </c>
      <c r="J53" s="27">
        <f>'[1]2021_Rohdaten'!G17</f>
        <v>37.085957999999998</v>
      </c>
    </row>
    <row r="54" spans="1:13" s="37" customFormat="1" ht="8.25" customHeight="1">
      <c r="B54" s="26">
        <v>2021</v>
      </c>
      <c r="C54" s="25" t="s">
        <v>19</v>
      </c>
      <c r="D54" s="25" t="s">
        <v>16</v>
      </c>
      <c r="E54" s="36">
        <f>'[1]2021_Rohdaten'!B18</f>
        <v>90.619758000000004</v>
      </c>
      <c r="F54" s="36">
        <f>'[1]2021_Rohdaten'!C18</f>
        <v>508.11885799999999</v>
      </c>
      <c r="G54" s="36">
        <f>'[1]2021_Rohdaten'!D18</f>
        <v>19.978676</v>
      </c>
      <c r="H54" s="36">
        <f>'[1]2021_Rohdaten'!E18</f>
        <v>193.743504</v>
      </c>
      <c r="I54" s="27">
        <f>'[1]2021_Rohdaten'!F18</f>
        <v>22.046710999999998</v>
      </c>
      <c r="J54" s="27">
        <f>'[1]2021_Rohdaten'!G18</f>
        <v>38.129564000000002</v>
      </c>
    </row>
    <row r="55" spans="1:13" s="37" customFormat="1" ht="8.25" customHeight="1">
      <c r="B55" s="26">
        <v>2021</v>
      </c>
      <c r="C55" s="25" t="s">
        <v>19</v>
      </c>
      <c r="D55" s="25" t="s">
        <v>17</v>
      </c>
      <c r="E55" s="36">
        <f>'[1]2021_Rohdaten'!B19</f>
        <v>76.983707999999993</v>
      </c>
      <c r="F55" s="36">
        <f>'[1]2021_Rohdaten'!C19</f>
        <v>475.50910499999998</v>
      </c>
      <c r="G55" s="36">
        <f>'[1]2021_Rohdaten'!D19</f>
        <v>13.554603999999999</v>
      </c>
      <c r="H55" s="36">
        <f>'[1]2021_Rohdaten'!E19</f>
        <v>171.04434499999999</v>
      </c>
      <c r="I55" s="27">
        <f>'[1]2021_Rohdaten'!F19</f>
        <v>17.607106999999999</v>
      </c>
      <c r="J55" s="27">
        <f>'[1]2021_Rohdaten'!G19</f>
        <v>35.970782</v>
      </c>
    </row>
    <row r="56" spans="1:13" ht="8.25" customHeight="1"/>
    <row r="57" spans="1:13" ht="8.25" customHeight="1">
      <c r="B57" s="11"/>
      <c r="C57" s="12"/>
      <c r="D57" s="12"/>
    </row>
    <row r="58" spans="1:13" s="13" customFormat="1" ht="8.25" customHeight="1">
      <c r="B58" s="14" t="s">
        <v>20</v>
      </c>
      <c r="C58" s="14"/>
      <c r="D58" s="14"/>
      <c r="E58" s="15"/>
      <c r="F58" s="15"/>
      <c r="G58" s="16"/>
      <c r="H58" s="16"/>
      <c r="I58" s="16"/>
      <c r="J58" s="15"/>
      <c r="K58" s="15"/>
      <c r="L58" s="15"/>
    </row>
    <row r="59" spans="1:13" s="13" customFormat="1" ht="8.25" customHeight="1">
      <c r="B59" s="14" t="s">
        <v>21</v>
      </c>
      <c r="C59" s="14"/>
      <c r="D59" s="14"/>
      <c r="E59" s="17"/>
      <c r="F59" s="17"/>
      <c r="G59" s="17"/>
      <c r="H59" s="17"/>
      <c r="I59" s="17"/>
      <c r="J59" s="17"/>
      <c r="K59" s="17"/>
      <c r="L59" s="17"/>
    </row>
    <row r="60" spans="1:13" s="13" customFormat="1" ht="8.25" customHeight="1">
      <c r="B60" s="14" t="s">
        <v>22</v>
      </c>
      <c r="C60" s="14"/>
      <c r="D60" s="14"/>
      <c r="E60" s="18"/>
      <c r="F60" s="18"/>
      <c r="G60" s="16"/>
      <c r="H60" s="16"/>
      <c r="I60" s="16"/>
      <c r="J60" s="18"/>
      <c r="K60" s="18"/>
      <c r="L60" s="18"/>
    </row>
    <row r="61" spans="1:13" s="21" customFormat="1" ht="8.25" customHeight="1">
      <c r="A61" s="19"/>
      <c r="B61" s="20"/>
      <c r="C61" s="20"/>
      <c r="D61" s="20"/>
      <c r="E61" s="20"/>
      <c r="F61" s="20"/>
      <c r="G61" s="20"/>
      <c r="H61" s="20"/>
      <c r="I61" s="20"/>
      <c r="J61" s="20"/>
      <c r="K61" s="19"/>
      <c r="L61" s="19"/>
      <c r="M61" s="19"/>
    </row>
    <row r="62" spans="1:13" s="21" customFormat="1" ht="8.25" customHeight="1">
      <c r="B62" s="22" t="s">
        <v>23</v>
      </c>
      <c r="C62" s="22"/>
      <c r="D62" s="22"/>
      <c r="E62" s="22"/>
      <c r="F62" s="22"/>
      <c r="G62" s="22"/>
      <c r="H62" s="22"/>
      <c r="I62" s="22"/>
      <c r="J62" s="22"/>
    </row>
    <row r="63" spans="1:13" ht="8.25" customHeight="1"/>
    <row r="64" spans="1:13" ht="8.25" customHeight="1">
      <c r="B64" s="22" t="s">
        <v>24</v>
      </c>
      <c r="C64" s="22"/>
      <c r="D64" s="22"/>
    </row>
    <row r="65" spans="2:4" ht="8.25" customHeight="1">
      <c r="B65" s="22" t="s">
        <v>27</v>
      </c>
      <c r="C65" s="22"/>
      <c r="D65" s="22"/>
    </row>
    <row r="66" spans="2:4" ht="8.25" customHeight="1">
      <c r="B66" s="22" t="s">
        <v>25</v>
      </c>
      <c r="C66" s="22"/>
      <c r="D66" s="22"/>
    </row>
    <row r="67" spans="2:4" ht="8.25" customHeight="1">
      <c r="B67" s="23" t="s">
        <v>26</v>
      </c>
      <c r="C67" s="23"/>
      <c r="D67" s="23"/>
    </row>
  </sheetData>
  <mergeCells count="5">
    <mergeCell ref="B6:B9"/>
    <mergeCell ref="C6:C9"/>
    <mergeCell ref="E6:J6"/>
    <mergeCell ref="E7:F7"/>
    <mergeCell ref="G7:J7"/>
  </mergeCells>
  <hyperlinks>
    <hyperlink ref="B67" r:id="rId1" xr:uid="{4C8609E4-FC82-4503-A992-D1D629E0B105}"/>
  </hyperlink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Biester, Christoph, Dr. (LSN)</dc:creator>
  <cp:lastModifiedBy>Schlesier, Alexander (LSN)</cp:lastModifiedBy>
  <dcterms:created xsi:type="dcterms:W3CDTF">2025-08-04T14:31:55Z</dcterms:created>
  <dcterms:modified xsi:type="dcterms:W3CDTF">2026-06-23T06:02:26Z</dcterms:modified>
</cp:coreProperties>
</file>