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DieseArbeitsmappe" defaultThemeVersion="166925"/>
  <mc:AlternateContent xmlns:mc="http://schemas.openxmlformats.org/markup-compatibility/2006">
    <mc:Choice Requires="x15">
      <x15ac:absPath xmlns:x15ac="http://schemas.microsoft.com/office/spreadsheetml/2010/11/ac" url="S:\Hannover\Dez15_Uebergreifende_Analysen\Projekte\Integrationsmonitoring\Schlesier\MT_Site\assets\excel\"/>
    </mc:Choice>
  </mc:AlternateContent>
  <xr:revisionPtr revIDLastSave="0" documentId="13_ncr:1_{2DF9B649-2977-4A39-84CD-682E6AF21D9E}" xr6:coauthVersionLast="47" xr6:coauthVersionMax="47" xr10:uidLastSave="{00000000-0000-0000-0000-000000000000}"/>
  <bookViews>
    <workbookView xWindow="-120" yWindow="-120" windowWidth="29040" windowHeight="17520" xr2:uid="{4424B46B-A95E-48DA-B113-8E8F86BF46C8}"/>
  </bookViews>
  <sheets>
    <sheet name="Tabelle1" sheetId="1" r:id="rId1"/>
  </sheets>
  <externalReferences>
    <externalReference r:id="rId2"/>
  </externalReference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26" i="1" l="1"/>
  <c r="Q26" i="1"/>
  <c r="P26" i="1"/>
  <c r="O26" i="1"/>
  <c r="N26" i="1"/>
  <c r="M26" i="1"/>
  <c r="L26" i="1"/>
  <c r="K26" i="1"/>
  <c r="J26" i="1"/>
  <c r="I26" i="1"/>
  <c r="H26" i="1"/>
  <c r="G26" i="1"/>
  <c r="F26" i="1"/>
  <c r="E26" i="1"/>
  <c r="D26" i="1"/>
  <c r="R25" i="1"/>
  <c r="Q25" i="1"/>
  <c r="P25" i="1"/>
  <c r="O25" i="1"/>
  <c r="N25" i="1"/>
  <c r="M25" i="1"/>
  <c r="L25" i="1"/>
  <c r="K25" i="1"/>
  <c r="J25" i="1"/>
  <c r="I25" i="1"/>
  <c r="H25" i="1"/>
  <c r="G25" i="1"/>
  <c r="F25" i="1"/>
  <c r="E25" i="1"/>
  <c r="D25" i="1"/>
  <c r="R24" i="1"/>
  <c r="Q24" i="1"/>
  <c r="P24" i="1"/>
  <c r="O24" i="1"/>
  <c r="N24" i="1"/>
  <c r="M24" i="1"/>
  <c r="L24" i="1"/>
  <c r="K24" i="1"/>
  <c r="J24" i="1"/>
  <c r="I24" i="1"/>
  <c r="H24" i="1"/>
  <c r="G24" i="1"/>
  <c r="F24" i="1"/>
  <c r="E24" i="1"/>
  <c r="D24" i="1"/>
  <c r="R23" i="1"/>
  <c r="Q23" i="1"/>
  <c r="P23" i="1"/>
  <c r="O23" i="1"/>
  <c r="N23" i="1"/>
  <c r="M23" i="1"/>
  <c r="L23" i="1"/>
  <c r="K23" i="1"/>
  <c r="J23" i="1"/>
  <c r="I23" i="1"/>
  <c r="H23" i="1"/>
  <c r="G23" i="1"/>
  <c r="F23" i="1"/>
  <c r="E23" i="1"/>
  <c r="D23" i="1"/>
  <c r="R22" i="1"/>
  <c r="Q22" i="1"/>
  <c r="P22" i="1"/>
  <c r="O22" i="1"/>
  <c r="N22" i="1"/>
  <c r="M22" i="1"/>
  <c r="L22" i="1"/>
  <c r="K22" i="1"/>
  <c r="J22" i="1"/>
  <c r="I22" i="1"/>
  <c r="H22" i="1"/>
  <c r="G22" i="1"/>
  <c r="F22" i="1"/>
  <c r="E22" i="1"/>
  <c r="D22" i="1"/>
  <c r="R21" i="1"/>
  <c r="Q21" i="1"/>
  <c r="P21" i="1"/>
  <c r="O21" i="1"/>
  <c r="N21" i="1"/>
  <c r="M21" i="1"/>
  <c r="L21" i="1"/>
  <c r="K21" i="1"/>
  <c r="J21" i="1"/>
  <c r="I21" i="1"/>
  <c r="H21" i="1"/>
  <c r="G21" i="1"/>
  <c r="F21" i="1"/>
  <c r="E21" i="1"/>
  <c r="D21" i="1"/>
  <c r="R20" i="1"/>
  <c r="Q20" i="1"/>
  <c r="P20" i="1"/>
  <c r="O20" i="1"/>
  <c r="N20" i="1"/>
  <c r="M20" i="1"/>
  <c r="L20" i="1"/>
  <c r="K20" i="1"/>
  <c r="J20" i="1"/>
  <c r="I20" i="1"/>
  <c r="H20" i="1"/>
  <c r="G20" i="1"/>
  <c r="F20" i="1"/>
  <c r="E20" i="1"/>
  <c r="D20" i="1"/>
  <c r="R19" i="1"/>
  <c r="Q19" i="1"/>
  <c r="P19" i="1"/>
  <c r="O19" i="1"/>
  <c r="N19" i="1"/>
  <c r="M19" i="1"/>
  <c r="L19" i="1"/>
  <c r="K19" i="1"/>
  <c r="J19" i="1"/>
  <c r="I19" i="1"/>
  <c r="H19" i="1"/>
  <c r="G19" i="1"/>
  <c r="F19" i="1"/>
  <c r="E19" i="1"/>
  <c r="D19" i="1"/>
  <c r="R18" i="1"/>
  <c r="Q18" i="1"/>
  <c r="P18" i="1"/>
  <c r="O18" i="1"/>
  <c r="N18" i="1"/>
  <c r="M18" i="1"/>
  <c r="L18" i="1"/>
  <c r="K18" i="1"/>
  <c r="J18" i="1"/>
  <c r="I18" i="1"/>
  <c r="H18" i="1"/>
  <c r="G18" i="1"/>
  <c r="F18" i="1"/>
  <c r="E18" i="1"/>
  <c r="D18" i="1"/>
  <c r="R17" i="1"/>
  <c r="Q17" i="1"/>
  <c r="P17" i="1"/>
  <c r="O17" i="1"/>
  <c r="N17" i="1"/>
  <c r="M17" i="1"/>
  <c r="L17" i="1"/>
  <c r="K17" i="1"/>
  <c r="J17" i="1"/>
  <c r="I17" i="1"/>
  <c r="H17" i="1"/>
  <c r="G17" i="1"/>
  <c r="F17" i="1"/>
  <c r="E17" i="1"/>
  <c r="D17" i="1"/>
  <c r="R16" i="1"/>
  <c r="Q16" i="1"/>
  <c r="P16" i="1"/>
  <c r="O16" i="1"/>
  <c r="N16" i="1"/>
  <c r="M16" i="1"/>
  <c r="L16" i="1"/>
  <c r="K16" i="1"/>
  <c r="J16" i="1"/>
  <c r="I16" i="1"/>
  <c r="H16" i="1"/>
  <c r="G16" i="1"/>
  <c r="F16" i="1"/>
  <c r="E16" i="1"/>
  <c r="D16" i="1"/>
  <c r="R15" i="1"/>
  <c r="Q15" i="1"/>
  <c r="P15" i="1"/>
  <c r="O15" i="1"/>
  <c r="N15" i="1"/>
  <c r="M15" i="1"/>
  <c r="L15" i="1"/>
  <c r="K15" i="1"/>
  <c r="J15" i="1"/>
  <c r="I15" i="1"/>
  <c r="H15" i="1"/>
  <c r="G15" i="1"/>
  <c r="F15" i="1"/>
  <c r="E15" i="1"/>
  <c r="D15" i="1"/>
  <c r="R14" i="1"/>
  <c r="Q14" i="1"/>
  <c r="P14" i="1"/>
  <c r="O14" i="1"/>
  <c r="N14" i="1"/>
  <c r="M14" i="1"/>
  <c r="L14" i="1"/>
  <c r="K14" i="1"/>
  <c r="J14" i="1"/>
  <c r="I14" i="1"/>
  <c r="H14" i="1"/>
  <c r="G14" i="1"/>
  <c r="F14" i="1"/>
  <c r="E14" i="1"/>
  <c r="D14" i="1"/>
  <c r="R13" i="1"/>
  <c r="Q13" i="1"/>
  <c r="P13" i="1"/>
  <c r="O13" i="1"/>
  <c r="N13" i="1"/>
  <c r="M13" i="1"/>
  <c r="L13" i="1"/>
  <c r="K13" i="1"/>
  <c r="J13" i="1"/>
  <c r="I13" i="1"/>
  <c r="H13" i="1"/>
  <c r="G13" i="1"/>
  <c r="F13" i="1"/>
  <c r="E13" i="1"/>
  <c r="D13" i="1"/>
  <c r="R12" i="1"/>
  <c r="Q12" i="1"/>
  <c r="P12" i="1"/>
  <c r="O12" i="1"/>
  <c r="N12" i="1"/>
  <c r="M12" i="1"/>
  <c r="L12" i="1"/>
  <c r="K12" i="1"/>
  <c r="J12" i="1"/>
  <c r="I12" i="1"/>
  <c r="H12" i="1"/>
  <c r="G12" i="1"/>
  <c r="F12" i="1"/>
  <c r="E12" i="1"/>
  <c r="D12" i="1"/>
</calcChain>
</file>

<file path=xl/sharedStrings.xml><?xml version="1.0" encoding="utf-8"?>
<sst xmlns="http://schemas.openxmlformats.org/spreadsheetml/2006/main" count="85" uniqueCount="28">
  <si>
    <t>Indikator 5.1.2: Erwerbsquote, Erwerbstätigenquote und Erwerbslosenanteil nach Zuwanderungsgeschichte</t>
  </si>
  <si>
    <r>
      <t>Tabelle 5.1.2: Erwerbsquote, Erwerbstätigenquote und Erwerbslosenanteil nach Zuwanderungsgeschichte</t>
    </r>
    <r>
      <rPr>
        <vertAlign val="superscript"/>
        <sz val="9"/>
        <rFont val="NDSFrutiger 55 Roman"/>
      </rPr>
      <t>1,4)</t>
    </r>
  </si>
  <si>
    <t>Jahr</t>
  </si>
  <si>
    <t>Geschlecht</t>
  </si>
  <si>
    <r>
      <t>Erwerbsquote</t>
    </r>
    <r>
      <rPr>
        <vertAlign val="superscript"/>
        <sz val="6"/>
        <rFont val="NDSFrutiger 45 Light"/>
      </rPr>
      <t>2)</t>
    </r>
  </si>
  <si>
    <r>
      <t>Erwerbstätigenquote</t>
    </r>
    <r>
      <rPr>
        <vertAlign val="superscript"/>
        <sz val="6"/>
        <rFont val="NDSFrutiger 45 Light"/>
      </rPr>
      <t>2)</t>
    </r>
  </si>
  <si>
    <r>
      <t>Erwerbslosenanteil</t>
    </r>
    <r>
      <rPr>
        <vertAlign val="superscript"/>
        <sz val="6"/>
        <rFont val="NDSFrutiger 45 Light"/>
      </rPr>
      <t>2)</t>
    </r>
  </si>
  <si>
    <t>Insgesamt</t>
  </si>
  <si>
    <r>
      <t>Migrationsstatus</t>
    </r>
    <r>
      <rPr>
        <vertAlign val="superscript"/>
        <sz val="6"/>
        <rFont val="NDSFrutiger 45 Light"/>
      </rPr>
      <t>3)</t>
    </r>
  </si>
  <si>
    <t>ohne Migrationshintergrund</t>
  </si>
  <si>
    <t>mit Migrationshintergrund</t>
  </si>
  <si>
    <t>davon</t>
  </si>
  <si>
    <t>mit Migrationshintergrund und eigener Migrationserfahrung</t>
  </si>
  <si>
    <t>mit Migrationshintergrund und ohne eigene Migrationserfahrung</t>
  </si>
  <si>
    <t>Prozent</t>
  </si>
  <si>
    <t>Männer</t>
  </si>
  <si>
    <t xml:space="preserve">Frauen </t>
  </si>
  <si>
    <t xml:space="preserve">1) Hochrechnung anhand der Bevölkerungsfortschreibung auf Basis des Zensus 2011. Die Hochrechnung für die Jahre vor 2011 sowie für bislang veröffentlichte Ergebnisse des Mikrozensus 2011-2013 basiert auf den fortgeschriebenen Ergebnissen der Volkszählung 1987. In 2016 erfolgte die Umstellung auf eine neue Mikrozensus-Stichprobe. Ab 2017 wird nur noch die Bevölkerung in Privathaushalten (ohne Gemeinschaftsunterkünfte) ausgewiesen. Dadurch ergibt sich jeweils eine eingeschränkte Vergleichbarkeit mit den Vorjahren. </t>
  </si>
  <si>
    <t>2) Bezogen auf die Bevölkerung im Erwerbsalter (15 bis unter 65 Jahre).</t>
  </si>
  <si>
    <t>3) Seit dem Jahr 2018 wird im Mikrozensus der Migrationshintergrund im weiteren Sinne jährlich berichtet. Durch eine rückwirkende Revision der Mikrozensusdaten wird auch für das Jahr 2017 der Migrationshintergrund im weiteren Sinne dargestellt. Die in der Tabelle ab dem Jahr 2017 berichteten Daten zum Migrationshintergrund entsprechen dem Migrationshintergrund im weiteren Sinne, bis 2016 wird der Migrationshintergrund im engeren Sinne abgebildet. Die Vergleichbarkeit zwischen den Jahren sowie für das Berichtsjahr 2017 zwischen den Berichten des Integrationsmonitoring Niedersachsen 2018 und 2019 ist dadurch eingeschränkt.</t>
  </si>
  <si>
    <t xml:space="preserve">4) Die Ergebnisse des Mikrozensus 2020 sind unter anderem aufgrund methodischer Effekte im Rahmen einer Neugestaltung der Erhebung sowie insbesondere aufgrund der Folgen der Corona-Pandemie in Ihrer Datenqualität eingeschränkt. Auf die Verwendung dieser Ergebnisse wird daher verzichtet. Weitere Informationen zur methodischen Neugestaltung des Mikrozensus ab 2020 und zu den Auswirkungen der Neugestaltung und der Corona-Krise auf die Ergebnisse des Jahres 2020 finden Sie auf der Informationsseite des Statistischen Bundesamtes: </t>
  </si>
  <si>
    <t>https://www.destatis.de/DE/Themen/Gesellschaft-Umwelt/Bevoelkerung/Haushalte-Familien/Methoden/mikrozensus-2020.html</t>
  </si>
  <si>
    <t>Quelle: Mikrozensus</t>
  </si>
  <si>
    <t>Niedersächsisches Ministerium für Soziales, Gesundheit und Gleichstellung (Hrsg.),</t>
  </si>
  <si>
    <t>Vervielfältigung und Verbreitung, auch auszugsweise, mit Quellenangabe gestattet.</t>
  </si>
  <si>
    <t>https://www.integrationsmonitoring.niedersachsen.de</t>
  </si>
  <si>
    <t>Migration und Teilhabe in Niedersachsen - Integrationsmonitoring 2026</t>
  </si>
  <si>
    <t>© Landesamt für Statistik Niedersachsen, Hannover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</si>
</sst>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u/>
      <sz val="11"/>
      <color theme="10"/>
      <name val="Calibri"/>
      <family val="2"/>
      <scheme val="minor"/>
    </font>
    <font>
      <sz val="9"/>
      <name val="NDSFrutiger 55 Roman"/>
    </font>
    <font>
      <sz val="11"/>
      <name val="NDSFrutiger 55 Roman"/>
    </font>
    <font>
      <sz val="6"/>
      <color theme="1"/>
      <name val="NDSFrutiger 45 Light"/>
    </font>
    <font>
      <vertAlign val="superscript"/>
      <sz val="9"/>
      <name val="NDSFrutiger 55 Roman"/>
    </font>
    <font>
      <sz val="6"/>
      <name val="NDSFrutiger 45 Light"/>
    </font>
    <font>
      <vertAlign val="superscript"/>
      <sz val="6"/>
      <name val="NDSFrutiger 45 Light"/>
    </font>
    <font>
      <sz val="6"/>
      <color indexed="8"/>
      <name val="NDSFrutiger 45 Light"/>
    </font>
    <font>
      <u/>
      <sz val="6"/>
      <color theme="10"/>
      <name val="NDSFrutiger 45 Light"/>
    </font>
    <font>
      <sz val="10"/>
      <name val="Arial"/>
      <family val="2"/>
    </font>
  </fonts>
  <fills count="2">
    <fill>
      <patternFill patternType="none"/>
    </fill>
    <fill>
      <patternFill patternType="gray125"/>
    </fill>
  </fills>
  <borders count="12">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 fillId="0" borderId="0" applyNumberFormat="0" applyFill="0" applyBorder="0" applyAlignment="0" applyProtection="0"/>
    <xf numFmtId="0" fontId="10" fillId="0" borderId="0"/>
  </cellStyleXfs>
  <cellXfs count="39">
    <xf numFmtId="0" fontId="0" fillId="0" borderId="0" xfId="0"/>
    <xf numFmtId="0" fontId="8" fillId="0" borderId="0" xfId="0" applyFont="1" applyFill="1" applyAlignment="1">
      <alignment horizontal="right" vertical="center" wrapText="1"/>
    </xf>
    <xf numFmtId="0" fontId="6" fillId="0" borderId="0" xfId="0" applyFont="1" applyFill="1" applyAlignment="1">
      <alignment horizontal="right" vertical="top" wrapText="1"/>
    </xf>
    <xf numFmtId="164" fontId="6" fillId="0" borderId="0" xfId="0" applyNumberFormat="1" applyFont="1" applyFill="1" applyAlignment="1">
      <alignment horizontal="right" vertical="center"/>
    </xf>
    <xf numFmtId="0" fontId="8" fillId="0" borderId="0" xfId="0" applyFont="1" applyFill="1" applyAlignment="1">
      <alignment horizontal="center" vertical="center" wrapText="1"/>
    </xf>
    <xf numFmtId="0" fontId="0" fillId="0" borderId="0" xfId="0" applyFill="1" applyAlignment="1">
      <alignment vertical="top" wrapText="1"/>
    </xf>
    <xf numFmtId="0" fontId="2" fillId="0" borderId="0" xfId="0" applyFont="1" applyFill="1"/>
    <xf numFmtId="0" fontId="0" fillId="0" borderId="0" xfId="0" applyFill="1"/>
    <xf numFmtId="0" fontId="3" fillId="0" borderId="0" xfId="0" applyFont="1" applyFill="1" applyAlignment="1" applyProtection="1">
      <alignment horizontal="left" vertical="center" wrapText="1"/>
      <protection locked="0"/>
    </xf>
    <xf numFmtId="0" fontId="4" fillId="0" borderId="0" xfId="0" applyFont="1" applyFill="1"/>
    <xf numFmtId="0" fontId="2" fillId="0" borderId="0" xfId="0" applyFont="1" applyFill="1" applyAlignment="1">
      <alignment vertical="center"/>
    </xf>
    <xf numFmtId="0" fontId="2" fillId="0" borderId="0" xfId="0" applyFont="1" applyFill="1" applyAlignment="1">
      <alignment vertical="center" wrapText="1"/>
    </xf>
    <xf numFmtId="0" fontId="6" fillId="0" borderId="1" xfId="0" applyFont="1" applyFill="1" applyBorder="1" applyAlignment="1">
      <alignment horizontal="center" vertical="center" wrapText="1"/>
    </xf>
    <xf numFmtId="0" fontId="6" fillId="0" borderId="2" xfId="0" applyFont="1" applyFill="1" applyBorder="1" applyAlignment="1">
      <alignment horizontal="center" vertical="center" wrapText="1"/>
    </xf>
    <xf numFmtId="0" fontId="6" fillId="0" borderId="3" xfId="0" applyFont="1" applyFill="1" applyBorder="1" applyAlignment="1">
      <alignment horizontal="center" vertical="center" wrapText="1"/>
    </xf>
    <xf numFmtId="0" fontId="6" fillId="0" borderId="4" xfId="0" applyFont="1" applyFill="1" applyBorder="1" applyAlignment="1">
      <alignment horizontal="center" vertical="center" wrapText="1"/>
    </xf>
    <xf numFmtId="0" fontId="6" fillId="0" borderId="5" xfId="0" applyFont="1" applyFill="1" applyBorder="1" applyAlignment="1">
      <alignment horizontal="center" vertical="center" wrapText="1"/>
    </xf>
    <xf numFmtId="0" fontId="6" fillId="0" borderId="6" xfId="0" applyFont="1" applyFill="1" applyBorder="1" applyAlignment="1">
      <alignment horizontal="center" vertical="center" wrapText="1"/>
    </xf>
    <xf numFmtId="0" fontId="6" fillId="0" borderId="7" xfId="0" applyFont="1" applyFill="1" applyBorder="1" applyAlignment="1">
      <alignment horizontal="center" vertical="center" wrapText="1"/>
    </xf>
    <xf numFmtId="0" fontId="4" fillId="0" borderId="3" xfId="0" applyFont="1" applyFill="1" applyBorder="1" applyAlignment="1">
      <alignment horizontal="center" vertical="center" wrapText="1"/>
    </xf>
    <xf numFmtId="0" fontId="4" fillId="0" borderId="2" xfId="0" applyFont="1" applyFill="1" applyBorder="1" applyAlignment="1">
      <alignment horizontal="center" vertical="center" wrapText="1"/>
    </xf>
    <xf numFmtId="0" fontId="6" fillId="0" borderId="8" xfId="0" applyFont="1" applyFill="1" applyBorder="1" applyAlignment="1">
      <alignment horizontal="center" vertical="center" wrapText="1"/>
    </xf>
    <xf numFmtId="0" fontId="4" fillId="0" borderId="8" xfId="0" applyFont="1" applyFill="1" applyBorder="1" applyAlignment="1">
      <alignment horizontal="center" vertical="center" wrapText="1"/>
    </xf>
    <xf numFmtId="0" fontId="4" fillId="0" borderId="3" xfId="0" applyFont="1" applyFill="1" applyBorder="1" applyAlignment="1">
      <alignment horizontal="center" vertical="center" wrapText="1"/>
    </xf>
    <xf numFmtId="0" fontId="4" fillId="0" borderId="4" xfId="0" applyFont="1" applyFill="1" applyBorder="1" applyAlignment="1">
      <alignment horizontal="center" vertical="center" wrapText="1"/>
    </xf>
    <xf numFmtId="0" fontId="6" fillId="0" borderId="9" xfId="0" applyFont="1" applyFill="1" applyBorder="1" applyAlignment="1">
      <alignment horizontal="center" vertical="center" wrapText="1"/>
    </xf>
    <xf numFmtId="0" fontId="8" fillId="0" borderId="10" xfId="0" applyFont="1" applyFill="1" applyBorder="1" applyAlignment="1">
      <alignment horizontal="center" vertical="center" wrapText="1"/>
    </xf>
    <xf numFmtId="164" fontId="6" fillId="0" borderId="0" xfId="0" applyNumberFormat="1" applyFont="1" applyFill="1"/>
    <xf numFmtId="0" fontId="6" fillId="0" borderId="11" xfId="0" applyFont="1" applyFill="1" applyBorder="1"/>
    <xf numFmtId="0" fontId="6" fillId="0" borderId="0" xfId="0" applyFont="1" applyFill="1"/>
    <xf numFmtId="0" fontId="6" fillId="0" borderId="0" xfId="0" applyFont="1" applyFill="1" applyAlignment="1">
      <alignment vertical="center" wrapText="1"/>
    </xf>
    <xf numFmtId="0" fontId="6" fillId="0" borderId="0" xfId="0" applyFont="1" applyFill="1" applyAlignment="1">
      <alignment horizontal="left" vertical="center" wrapText="1"/>
    </xf>
    <xf numFmtId="0" fontId="0" fillId="0" borderId="0" xfId="0" applyFill="1" applyAlignment="1">
      <alignment vertical="center"/>
    </xf>
    <xf numFmtId="0" fontId="4" fillId="0" borderId="0" xfId="0" applyFont="1" applyFill="1" applyAlignment="1">
      <alignment horizontal="left" vertical="center" wrapText="1"/>
    </xf>
    <xf numFmtId="0" fontId="9" fillId="0" borderId="0" xfId="1" applyFont="1" applyFill="1"/>
    <xf numFmtId="0" fontId="6" fillId="0" borderId="0" xfId="2" applyFont="1" applyFill="1"/>
    <xf numFmtId="0" fontId="6" fillId="0" borderId="0" xfId="0" applyFont="1" applyFill="1" applyAlignment="1">
      <alignment vertical="center"/>
    </xf>
    <xf numFmtId="0" fontId="6" fillId="0" borderId="0" xfId="2" applyFont="1" applyFill="1" applyAlignment="1">
      <alignment vertical="center"/>
    </xf>
    <xf numFmtId="0" fontId="9" fillId="0" borderId="0" xfId="1" applyFont="1" applyFill="1" applyBorder="1" applyAlignment="1">
      <alignment vertical="center"/>
    </xf>
  </cellXfs>
  <cellStyles count="3">
    <cellStyle name="Link" xfId="1" builtinId="8"/>
    <cellStyle name="Standard" xfId="0" builtinId="0"/>
    <cellStyle name="Standard_Tabelle_A_6_HT" xfId="2" xr:uid="{A8E15C09-7A92-4CA4-A709-C107538BA16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annover/Dez15_Uebergreifende_Analysen/Projekte/Integrationsmonitoring_2026/Datentabellen%202026/2025_5-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5-1-2_Download"/>
      <sheetName val="2021"/>
      <sheetName val="2022"/>
      <sheetName val="2023"/>
      <sheetName val="2024"/>
      <sheetName val="2025"/>
      <sheetName val="5-1-2_CSV_Vorbereitung"/>
      <sheetName val="5-1-2_CSV_Export"/>
    </sheetNames>
    <sheetDataSet>
      <sheetData sheetId="0"/>
      <sheetData sheetId="1">
        <row r="12">
          <cell r="C12">
            <v>1838.92</v>
          </cell>
          <cell r="E12">
            <v>2089.69</v>
          </cell>
          <cell r="G12">
            <v>3928.61</v>
          </cell>
          <cell r="I12">
            <v>370.59</v>
          </cell>
          <cell r="K12">
            <v>495.85</v>
          </cell>
          <cell r="M12">
            <v>866.43</v>
          </cell>
          <cell r="O12">
            <v>272.37</v>
          </cell>
          <cell r="Q12">
            <v>374.64</v>
          </cell>
          <cell r="S12">
            <v>647.01</v>
          </cell>
          <cell r="U12">
            <v>98.22</v>
          </cell>
          <cell r="W12">
            <v>121.21</v>
          </cell>
          <cell r="Y12">
            <v>219.43</v>
          </cell>
          <cell r="AA12">
            <v>1468.33</v>
          </cell>
          <cell r="AC12">
            <v>1593.85</v>
          </cell>
          <cell r="AE12">
            <v>3062.18</v>
          </cell>
        </row>
        <row r="13">
          <cell r="C13">
            <v>1785.3</v>
          </cell>
          <cell r="E13">
            <v>2009.82</v>
          </cell>
          <cell r="F13">
            <v>3901.64</v>
          </cell>
          <cell r="I13">
            <v>352.14</v>
          </cell>
          <cell r="K13">
            <v>463.59</v>
          </cell>
          <cell r="M13">
            <v>815.73</v>
          </cell>
          <cell r="O13">
            <v>258.10000000000002</v>
          </cell>
          <cell r="Q13">
            <v>350.04</v>
          </cell>
          <cell r="S13">
            <v>608.14</v>
          </cell>
          <cell r="U13">
            <v>94.04</v>
          </cell>
          <cell r="W13">
            <v>113.54</v>
          </cell>
          <cell r="Y13">
            <v>207.59</v>
          </cell>
          <cell r="AA13">
            <v>1433.16</v>
          </cell>
          <cell r="AC13">
            <v>1546.23</v>
          </cell>
          <cell r="AE13">
            <v>2979.39</v>
          </cell>
        </row>
        <row r="14">
          <cell r="C14">
            <v>53.62</v>
          </cell>
          <cell r="E14">
            <v>79.87</v>
          </cell>
          <cell r="G14">
            <v>133.49</v>
          </cell>
          <cell r="I14">
            <v>18.440000000000001</v>
          </cell>
          <cell r="K14">
            <v>32.26</v>
          </cell>
          <cell r="M14">
            <v>50.7</v>
          </cell>
          <cell r="O14">
            <v>14.27</v>
          </cell>
          <cell r="Q14">
            <v>24.59</v>
          </cell>
          <cell r="S14">
            <v>38.86</v>
          </cell>
          <cell r="U14">
            <v>4.17</v>
          </cell>
          <cell r="W14">
            <v>7.67</v>
          </cell>
          <cell r="Y14">
            <v>11.84</v>
          </cell>
          <cell r="AA14">
            <v>35.18</v>
          </cell>
          <cell r="AC14">
            <v>47.61</v>
          </cell>
          <cell r="AE14">
            <v>82.79</v>
          </cell>
        </row>
        <row r="15">
          <cell r="C15">
            <v>2523.0100000000002</v>
          </cell>
          <cell r="E15">
            <v>2573.46</v>
          </cell>
          <cell r="G15">
            <v>5096.47</v>
          </cell>
          <cell r="I15">
            <v>595.53</v>
          </cell>
          <cell r="K15">
            <v>645.01</v>
          </cell>
          <cell r="M15">
            <v>1240.54</v>
          </cell>
          <cell r="O15">
            <v>438.06</v>
          </cell>
          <cell r="Q15">
            <v>469.43</v>
          </cell>
          <cell r="S15">
            <v>907.49</v>
          </cell>
          <cell r="U15">
            <v>157.47</v>
          </cell>
          <cell r="W15">
            <v>175.58</v>
          </cell>
          <cell r="Y15">
            <v>333.05</v>
          </cell>
          <cell r="AA15">
            <v>1927.48</v>
          </cell>
          <cell r="AC15">
            <v>1928.45</v>
          </cell>
          <cell r="AE15">
            <v>3855.93</v>
          </cell>
        </row>
      </sheetData>
      <sheetData sheetId="2">
        <row r="12">
          <cell r="C12">
            <v>1897.1</v>
          </cell>
          <cell r="E12">
            <v>2129.81</v>
          </cell>
          <cell r="G12">
            <v>4026.91</v>
          </cell>
          <cell r="I12">
            <v>405.71</v>
          </cell>
          <cell r="K12">
            <v>524.71</v>
          </cell>
          <cell r="M12">
            <v>930.42</v>
          </cell>
          <cell r="O12">
            <v>303.7</v>
          </cell>
          <cell r="Q12">
            <v>405.86</v>
          </cell>
          <cell r="S12">
            <v>709.56</v>
          </cell>
          <cell r="U12">
            <v>102</v>
          </cell>
          <cell r="W12">
            <v>118.86</v>
          </cell>
          <cell r="Y12">
            <v>220.86</v>
          </cell>
          <cell r="AA12">
            <v>1491.39</v>
          </cell>
          <cell r="AC12">
            <v>1605.1</v>
          </cell>
          <cell r="AE12">
            <v>3096.49</v>
          </cell>
        </row>
        <row r="13">
          <cell r="C13">
            <v>1849.36</v>
          </cell>
          <cell r="E13">
            <v>2060.35</v>
          </cell>
          <cell r="F13">
            <v>4036.67</v>
          </cell>
          <cell r="I13">
            <v>388.71</v>
          </cell>
          <cell r="K13">
            <v>496.53</v>
          </cell>
          <cell r="M13">
            <v>885.24</v>
          </cell>
          <cell r="O13">
            <v>290.11</v>
          </cell>
          <cell r="Q13">
            <v>382.69</v>
          </cell>
          <cell r="S13">
            <v>672.8</v>
          </cell>
          <cell r="U13">
            <v>98.59</v>
          </cell>
          <cell r="W13">
            <v>113.84</v>
          </cell>
          <cell r="Y13">
            <v>212.44</v>
          </cell>
          <cell r="AA13">
            <v>1460.65</v>
          </cell>
          <cell r="AC13">
            <v>1563.81</v>
          </cell>
          <cell r="AE13">
            <v>3024.47</v>
          </cell>
        </row>
        <row r="14">
          <cell r="C14">
            <v>47.74</v>
          </cell>
          <cell r="E14">
            <v>69.459999999999994</v>
          </cell>
          <cell r="G14">
            <v>117.2</v>
          </cell>
          <cell r="I14">
            <v>17</v>
          </cell>
          <cell r="K14">
            <v>28.18</v>
          </cell>
          <cell r="M14">
            <v>45.18</v>
          </cell>
          <cell r="O14">
            <v>13.59</v>
          </cell>
          <cell r="Q14">
            <v>23.17</v>
          </cell>
          <cell r="S14">
            <v>36.76</v>
          </cell>
          <cell r="U14">
            <v>3.41</v>
          </cell>
          <cell r="W14">
            <v>5.01</v>
          </cell>
          <cell r="Y14">
            <v>8.42</v>
          </cell>
          <cell r="AA14">
            <v>30.74</v>
          </cell>
          <cell r="AC14">
            <v>41.28</v>
          </cell>
          <cell r="AE14">
            <v>72.02</v>
          </cell>
        </row>
        <row r="15">
          <cell r="C15">
            <v>2545.71</v>
          </cell>
          <cell r="E15">
            <v>2583.71</v>
          </cell>
          <cell r="G15">
            <v>5129.41</v>
          </cell>
          <cell r="I15">
            <v>633.20000000000005</v>
          </cell>
          <cell r="K15">
            <v>667.3</v>
          </cell>
          <cell r="M15">
            <v>1300.5</v>
          </cell>
          <cell r="O15">
            <v>475.71</v>
          </cell>
          <cell r="Q15">
            <v>495.43</v>
          </cell>
          <cell r="S15">
            <v>971.14</v>
          </cell>
          <cell r="U15">
            <v>157.49</v>
          </cell>
          <cell r="W15">
            <v>171.86</v>
          </cell>
          <cell r="Y15">
            <v>329.36</v>
          </cell>
          <cell r="AA15">
            <v>1912.51</v>
          </cell>
          <cell r="AC15">
            <v>1916.41</v>
          </cell>
          <cell r="AE15">
            <v>3828.92</v>
          </cell>
        </row>
      </sheetData>
      <sheetData sheetId="3">
        <row r="12">
          <cell r="C12">
            <v>1906.18</v>
          </cell>
          <cell r="E12">
            <v>2138.19</v>
          </cell>
          <cell r="G12">
            <v>4044.37</v>
          </cell>
          <cell r="I12">
            <v>415.22</v>
          </cell>
          <cell r="K12">
            <v>538.70000000000005</v>
          </cell>
          <cell r="M12">
            <v>953.93</v>
          </cell>
          <cell r="O12">
            <v>309.17</v>
          </cell>
          <cell r="Q12">
            <v>412.89</v>
          </cell>
          <cell r="S12">
            <v>722.05</v>
          </cell>
          <cell r="U12">
            <v>106.06</v>
          </cell>
          <cell r="W12">
            <v>125.81</v>
          </cell>
          <cell r="Y12">
            <v>231.87</v>
          </cell>
          <cell r="AA12">
            <v>1490.96</v>
          </cell>
          <cell r="AC12">
            <v>1599.49</v>
          </cell>
          <cell r="AE12">
            <v>3090.45</v>
          </cell>
        </row>
        <row r="13">
          <cell r="C13">
            <v>1857.82</v>
          </cell>
          <cell r="E13">
            <v>2071.71</v>
          </cell>
          <cell r="F13">
            <v>4066.89</v>
          </cell>
          <cell r="I13">
            <v>396.2</v>
          </cell>
          <cell r="K13">
            <v>510.39</v>
          </cell>
          <cell r="M13">
            <v>906.59</v>
          </cell>
          <cell r="O13">
            <v>293.74</v>
          </cell>
          <cell r="Q13">
            <v>391.65</v>
          </cell>
          <cell r="S13">
            <v>685.39</v>
          </cell>
          <cell r="U13">
            <v>102.46</v>
          </cell>
          <cell r="W13">
            <v>118.74</v>
          </cell>
          <cell r="Y13">
            <v>221.2</v>
          </cell>
          <cell r="AA13">
            <v>1461.62</v>
          </cell>
          <cell r="AC13">
            <v>1561.32</v>
          </cell>
          <cell r="AE13">
            <v>3022.94</v>
          </cell>
        </row>
        <row r="14">
          <cell r="C14">
            <v>48.36</v>
          </cell>
          <cell r="E14">
            <v>66.48</v>
          </cell>
          <cell r="G14">
            <v>114.84</v>
          </cell>
          <cell r="I14">
            <v>19.02</v>
          </cell>
          <cell r="K14">
            <v>28.31</v>
          </cell>
          <cell r="M14">
            <v>47.34</v>
          </cell>
          <cell r="O14">
            <v>15.43</v>
          </cell>
          <cell r="Q14">
            <v>21.24</v>
          </cell>
          <cell r="S14">
            <v>36.67</v>
          </cell>
          <cell r="U14">
            <v>3.6</v>
          </cell>
          <cell r="W14">
            <v>7.07</v>
          </cell>
          <cell r="Y14">
            <v>10.67</v>
          </cell>
          <cell r="AA14">
            <v>29.34</v>
          </cell>
          <cell r="AC14">
            <v>38.17</v>
          </cell>
          <cell r="AE14">
            <v>67.5</v>
          </cell>
        </row>
        <row r="15">
          <cell r="C15">
            <v>2556.8000000000002</v>
          </cell>
          <cell r="E15">
            <v>2591.2600000000002</v>
          </cell>
          <cell r="G15">
            <v>5148.07</v>
          </cell>
          <cell r="I15">
            <v>659.63</v>
          </cell>
          <cell r="K15">
            <v>689.45</v>
          </cell>
          <cell r="M15">
            <v>1349.07</v>
          </cell>
          <cell r="O15">
            <v>498.48</v>
          </cell>
          <cell r="Q15">
            <v>515.29</v>
          </cell>
          <cell r="S15">
            <v>1013.77</v>
          </cell>
          <cell r="U15">
            <v>161.15</v>
          </cell>
          <cell r="W15">
            <v>174.15</v>
          </cell>
          <cell r="Y15">
            <v>335.3</v>
          </cell>
          <cell r="AA15">
            <v>1897.18</v>
          </cell>
          <cell r="AC15">
            <v>1901.82</v>
          </cell>
          <cell r="AE15">
            <v>3799</v>
          </cell>
        </row>
      </sheetData>
      <sheetData sheetId="4">
        <row r="12">
          <cell r="C12">
            <v>1910.81</v>
          </cell>
          <cell r="E12">
            <v>2138.31</v>
          </cell>
          <cell r="G12">
            <v>4049.12</v>
          </cell>
          <cell r="I12">
            <v>461.74</v>
          </cell>
          <cell r="K12">
            <v>574.83000000000004</v>
          </cell>
          <cell r="M12">
            <v>1036.58</v>
          </cell>
          <cell r="O12">
            <v>330.65</v>
          </cell>
          <cell r="Q12">
            <v>428.48</v>
          </cell>
          <cell r="S12">
            <v>759.14</v>
          </cell>
          <cell r="U12">
            <v>131.09</v>
          </cell>
          <cell r="W12">
            <v>146.35</v>
          </cell>
          <cell r="Y12">
            <v>277.44</v>
          </cell>
          <cell r="AA12">
            <v>1449.06</v>
          </cell>
          <cell r="AC12">
            <v>1563.48</v>
          </cell>
          <cell r="AE12">
            <v>3012.54</v>
          </cell>
        </row>
        <row r="13">
          <cell r="C13">
            <v>1852.1</v>
          </cell>
          <cell r="E13">
            <v>2068.16</v>
          </cell>
          <cell r="F13">
            <v>4065.13</v>
          </cell>
          <cell r="I13">
            <v>433.07</v>
          </cell>
          <cell r="K13">
            <v>542.54999999999995</v>
          </cell>
          <cell r="M13">
            <v>975.62</v>
          </cell>
          <cell r="O13">
            <v>309.29000000000002</v>
          </cell>
          <cell r="Q13">
            <v>405.16</v>
          </cell>
          <cell r="S13">
            <v>714.45</v>
          </cell>
          <cell r="U13">
            <v>123.78</v>
          </cell>
          <cell r="W13">
            <v>137.4</v>
          </cell>
          <cell r="Y13">
            <v>261.17</v>
          </cell>
          <cell r="AA13">
            <v>1419.03</v>
          </cell>
          <cell r="AC13">
            <v>1525.61</v>
          </cell>
          <cell r="AE13">
            <v>2944.64</v>
          </cell>
        </row>
        <row r="14">
          <cell r="C14">
            <v>58.71</v>
          </cell>
          <cell r="E14">
            <v>70.150000000000006</v>
          </cell>
          <cell r="G14">
            <v>128.86000000000001</v>
          </cell>
          <cell r="I14">
            <v>28.68</v>
          </cell>
          <cell r="K14">
            <v>32.28</v>
          </cell>
          <cell r="M14">
            <v>60.96</v>
          </cell>
          <cell r="O14">
            <v>21.36</v>
          </cell>
          <cell r="Q14">
            <v>23.32</v>
          </cell>
          <cell r="S14">
            <v>44.69</v>
          </cell>
          <cell r="U14">
            <v>7.31</v>
          </cell>
          <cell r="W14">
            <v>8.9600000000000009</v>
          </cell>
          <cell r="Y14">
            <v>16.27</v>
          </cell>
          <cell r="AA14">
            <v>30.03</v>
          </cell>
          <cell r="AC14">
            <v>37.869999999999997</v>
          </cell>
          <cell r="AE14">
            <v>67.900000000000006</v>
          </cell>
        </row>
        <row r="15">
          <cell r="C15">
            <v>2547.89</v>
          </cell>
          <cell r="E15">
            <v>2595.0100000000002</v>
          </cell>
          <cell r="G15">
            <v>5142.8999999999996</v>
          </cell>
          <cell r="I15">
            <v>712.41</v>
          </cell>
          <cell r="K15">
            <v>735.94</v>
          </cell>
          <cell r="M15">
            <v>1448.35</v>
          </cell>
          <cell r="O15">
            <v>524.35</v>
          </cell>
          <cell r="Q15">
            <v>539.30999999999995</v>
          </cell>
          <cell r="S15">
            <v>1063.6600000000001</v>
          </cell>
          <cell r="U15">
            <v>188.06</v>
          </cell>
          <cell r="W15">
            <v>196.63</v>
          </cell>
          <cell r="Y15">
            <v>384.69</v>
          </cell>
          <cell r="AA15">
            <v>1835.48</v>
          </cell>
          <cell r="AC15">
            <v>1859.07</v>
          </cell>
          <cell r="AE15">
            <v>3694.55</v>
          </cell>
        </row>
      </sheetData>
      <sheetData sheetId="5">
        <row r="12">
          <cell r="C12">
            <v>1914.11</v>
          </cell>
          <cell r="E12">
            <v>2144.12</v>
          </cell>
          <cell r="G12">
            <v>4058.23</v>
          </cell>
          <cell r="I12">
            <v>474.36</v>
          </cell>
          <cell r="K12">
            <v>595.69000000000005</v>
          </cell>
          <cell r="M12">
            <v>1070.06</v>
          </cell>
          <cell r="O12">
            <v>341.23</v>
          </cell>
          <cell r="Q12">
            <v>444.2</v>
          </cell>
          <cell r="S12">
            <v>785.44</v>
          </cell>
          <cell r="U12">
            <v>133.13</v>
          </cell>
          <cell r="W12">
            <v>151.49</v>
          </cell>
          <cell r="Y12">
            <v>284.62</v>
          </cell>
          <cell r="AA12">
            <v>1439.75</v>
          </cell>
          <cell r="AC12">
            <v>1548.43</v>
          </cell>
          <cell r="AE12">
            <v>2988.17</v>
          </cell>
        </row>
        <row r="13">
          <cell r="C13">
            <v>1854.45</v>
          </cell>
          <cell r="E13">
            <v>2060.5300000000002</v>
          </cell>
          <cell r="F13">
            <v>4063.22</v>
          </cell>
          <cell r="I13">
            <v>445.71</v>
          </cell>
          <cell r="K13">
            <v>553.67999999999995</v>
          </cell>
          <cell r="M13">
            <v>999.38</v>
          </cell>
          <cell r="O13">
            <v>320.10000000000002</v>
          </cell>
          <cell r="Q13">
            <v>411.75</v>
          </cell>
          <cell r="S13">
            <v>731.85</v>
          </cell>
          <cell r="U13">
            <v>125.6</v>
          </cell>
          <cell r="W13">
            <v>141.93</v>
          </cell>
          <cell r="Y13">
            <v>267.52999999999997</v>
          </cell>
          <cell r="AA13">
            <v>1408.75</v>
          </cell>
          <cell r="AC13">
            <v>1506.85</v>
          </cell>
          <cell r="AE13">
            <v>2915.6</v>
          </cell>
        </row>
        <row r="14">
          <cell r="C14">
            <v>59.66</v>
          </cell>
          <cell r="E14">
            <v>83.59</v>
          </cell>
          <cell r="G14">
            <v>143.25</v>
          </cell>
          <cell r="I14">
            <v>28.66</v>
          </cell>
          <cell r="K14">
            <v>42.02</v>
          </cell>
          <cell r="M14">
            <v>70.67</v>
          </cell>
          <cell r="O14">
            <v>21.13</v>
          </cell>
          <cell r="Q14">
            <v>32.450000000000003</v>
          </cell>
          <cell r="S14">
            <v>53.58</v>
          </cell>
          <cell r="U14">
            <v>7.53</v>
          </cell>
          <cell r="W14">
            <v>9.56</v>
          </cell>
          <cell r="Y14">
            <v>17.09</v>
          </cell>
          <cell r="AA14">
            <v>31</v>
          </cell>
          <cell r="AC14">
            <v>41.57</v>
          </cell>
          <cell r="AE14">
            <v>72.569999999999993</v>
          </cell>
        </row>
        <row r="15">
          <cell r="C15">
            <v>2537.71</v>
          </cell>
          <cell r="E15">
            <v>2583.0300000000002</v>
          </cell>
          <cell r="G15">
            <v>5120.74</v>
          </cell>
          <cell r="I15">
            <v>718.9</v>
          </cell>
          <cell r="K15">
            <v>754.35</v>
          </cell>
          <cell r="M15">
            <v>1473.25</v>
          </cell>
          <cell r="O15">
            <v>523.89</v>
          </cell>
          <cell r="Q15">
            <v>550.96</v>
          </cell>
          <cell r="S15">
            <v>1074.8499999999999</v>
          </cell>
          <cell r="U15">
            <v>195.01</v>
          </cell>
          <cell r="W15">
            <v>203.4</v>
          </cell>
          <cell r="Y15">
            <v>398.4</v>
          </cell>
          <cell r="AA15">
            <v>1818.81</v>
          </cell>
          <cell r="AC15">
            <v>1828.68</v>
          </cell>
          <cell r="AE15">
            <v>3647.49</v>
          </cell>
        </row>
      </sheetData>
      <sheetData sheetId="6"/>
      <sheetData sheetId="7"/>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www.destatis.de/DE/Themen/Gesellschaft-Umwelt/Bevoelkerung/Haushalte-Familien/Methoden/mikrozensus-2020.html" TargetMode="External"/><Relationship Id="rId1" Type="http://schemas.openxmlformats.org/officeDocument/2006/relationships/hyperlink" Target="https://www.integrationsmonitoring.niedersachsen.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EE5D5-9E4B-45EB-9CB2-1116C80F5A4A}">
  <sheetPr codeName="Tabelle1"/>
  <dimension ref="B1:S70"/>
  <sheetViews>
    <sheetView showGridLines="0" tabSelected="1" zoomScale="160" zoomScaleNormal="160" workbookViewId="0"/>
  </sheetViews>
  <sheetFormatPr baseColWidth="10" defaultRowHeight="15" x14ac:dyDescent="0.25"/>
  <cols>
    <col min="1" max="1" width="5.7109375" style="7" customWidth="1"/>
    <col min="2" max="4" width="11.42578125" style="7"/>
    <col min="5" max="6" width="12.7109375" style="7" customWidth="1"/>
    <col min="7" max="8" width="14.7109375" style="7" customWidth="1"/>
    <col min="9" max="9" width="11.42578125" style="7"/>
    <col min="10" max="11" width="12.7109375" style="7" customWidth="1"/>
    <col min="12" max="13" width="14.7109375" style="7" customWidth="1"/>
    <col min="14" max="14" width="11.42578125" style="7"/>
    <col min="15" max="16" width="12.7109375" style="7" customWidth="1"/>
    <col min="17" max="18" width="14.7109375" style="7" customWidth="1"/>
    <col min="19" max="16384" width="11.42578125" style="7"/>
  </cols>
  <sheetData>
    <row r="1" spans="2:19" ht="15" customHeight="1" x14ac:dyDescent="0.25">
      <c r="B1" s="6" t="s">
        <v>26</v>
      </c>
    </row>
    <row r="2" spans="2:19" ht="15" customHeight="1" x14ac:dyDescent="0.25"/>
    <row r="3" spans="2:19" ht="15" customHeight="1" x14ac:dyDescent="0.25">
      <c r="B3" s="8" t="s">
        <v>0</v>
      </c>
      <c r="C3" s="8"/>
      <c r="D3" s="8"/>
      <c r="E3" s="8"/>
      <c r="F3" s="8"/>
      <c r="G3" s="8"/>
      <c r="H3" s="8"/>
      <c r="I3" s="8"/>
      <c r="J3" s="8"/>
      <c r="M3" s="9"/>
    </row>
    <row r="4" spans="2:19" ht="15" customHeight="1" x14ac:dyDescent="0.25">
      <c r="B4" s="10" t="s">
        <v>1</v>
      </c>
      <c r="M4" s="9"/>
    </row>
    <row r="5" spans="2:19" s="5" customFormat="1" ht="15" customHeight="1" x14ac:dyDescent="0.25">
      <c r="B5" s="10"/>
      <c r="C5" s="11"/>
      <c r="D5" s="11"/>
      <c r="E5" s="11"/>
      <c r="F5" s="11"/>
      <c r="G5" s="11"/>
      <c r="H5" s="11"/>
      <c r="I5" s="11"/>
    </row>
    <row r="6" spans="2:19" s="5" customFormat="1" ht="8.25" customHeight="1" x14ac:dyDescent="0.25">
      <c r="B6" s="12" t="s">
        <v>2</v>
      </c>
      <c r="C6" s="13" t="s">
        <v>3</v>
      </c>
      <c r="D6" s="14" t="s">
        <v>4</v>
      </c>
      <c r="E6" s="14"/>
      <c r="F6" s="14"/>
      <c r="G6" s="14"/>
      <c r="H6" s="14"/>
      <c r="I6" s="14" t="s">
        <v>5</v>
      </c>
      <c r="J6" s="14"/>
      <c r="K6" s="14"/>
      <c r="L6" s="14"/>
      <c r="M6" s="14"/>
      <c r="N6" s="14" t="s">
        <v>6</v>
      </c>
      <c r="O6" s="14"/>
      <c r="P6" s="14"/>
      <c r="Q6" s="14"/>
      <c r="R6" s="15"/>
    </row>
    <row r="7" spans="2:19" s="5" customFormat="1" ht="8.25" customHeight="1" x14ac:dyDescent="0.25">
      <c r="B7" s="16"/>
      <c r="C7" s="17"/>
      <c r="D7" s="13" t="s">
        <v>7</v>
      </c>
      <c r="E7" s="13" t="s">
        <v>8</v>
      </c>
      <c r="F7" s="13"/>
      <c r="G7" s="13"/>
      <c r="H7" s="13"/>
      <c r="I7" s="13" t="s">
        <v>7</v>
      </c>
      <c r="J7" s="13" t="s">
        <v>8</v>
      </c>
      <c r="K7" s="13"/>
      <c r="L7" s="13"/>
      <c r="M7" s="13"/>
      <c r="N7" s="13" t="s">
        <v>7</v>
      </c>
      <c r="O7" s="13" t="s">
        <v>8</v>
      </c>
      <c r="P7" s="13"/>
      <c r="Q7" s="13"/>
      <c r="R7" s="18"/>
    </row>
    <row r="8" spans="2:19" s="5" customFormat="1" ht="8.25" customHeight="1" x14ac:dyDescent="0.25">
      <c r="B8" s="16"/>
      <c r="C8" s="17"/>
      <c r="D8" s="17"/>
      <c r="E8" s="19" t="s">
        <v>9</v>
      </c>
      <c r="F8" s="20" t="s">
        <v>10</v>
      </c>
      <c r="G8" s="14" t="s">
        <v>11</v>
      </c>
      <c r="H8" s="14"/>
      <c r="I8" s="17"/>
      <c r="J8" s="19" t="s">
        <v>9</v>
      </c>
      <c r="K8" s="20" t="s">
        <v>10</v>
      </c>
      <c r="L8" s="14" t="s">
        <v>11</v>
      </c>
      <c r="M8" s="14"/>
      <c r="N8" s="17"/>
      <c r="O8" s="19" t="s">
        <v>9</v>
      </c>
      <c r="P8" s="20" t="s">
        <v>10</v>
      </c>
      <c r="Q8" s="14" t="s">
        <v>11</v>
      </c>
      <c r="R8" s="15"/>
    </row>
    <row r="9" spans="2:19" s="5" customFormat="1" ht="24.75" customHeight="1" x14ac:dyDescent="0.25">
      <c r="B9" s="16"/>
      <c r="C9" s="17"/>
      <c r="D9" s="21"/>
      <c r="E9" s="19"/>
      <c r="F9" s="22"/>
      <c r="G9" s="23" t="s">
        <v>12</v>
      </c>
      <c r="H9" s="23" t="s">
        <v>13</v>
      </c>
      <c r="I9" s="21"/>
      <c r="J9" s="19"/>
      <c r="K9" s="22"/>
      <c r="L9" s="23" t="s">
        <v>12</v>
      </c>
      <c r="M9" s="23" t="s">
        <v>13</v>
      </c>
      <c r="N9" s="21"/>
      <c r="O9" s="19"/>
      <c r="P9" s="22"/>
      <c r="Q9" s="23" t="s">
        <v>12</v>
      </c>
      <c r="R9" s="24" t="s">
        <v>13</v>
      </c>
    </row>
    <row r="10" spans="2:19" s="5" customFormat="1" ht="8.25" customHeight="1" x14ac:dyDescent="0.25">
      <c r="B10" s="25"/>
      <c r="C10" s="21"/>
      <c r="D10" s="14" t="s">
        <v>14</v>
      </c>
      <c r="E10" s="14"/>
      <c r="F10" s="14"/>
      <c r="G10" s="14"/>
      <c r="H10" s="14"/>
      <c r="I10" s="14"/>
      <c r="J10" s="14"/>
      <c r="K10" s="14"/>
      <c r="L10" s="14"/>
      <c r="M10" s="14"/>
      <c r="N10" s="14"/>
      <c r="O10" s="14"/>
      <c r="P10" s="14"/>
      <c r="Q10" s="14"/>
      <c r="R10" s="15"/>
    </row>
    <row r="11" spans="2:19" s="5" customFormat="1" ht="8.25" customHeight="1" x14ac:dyDescent="0.25">
      <c r="B11" s="26">
        <v>1</v>
      </c>
      <c r="C11" s="26">
        <v>2</v>
      </c>
      <c r="D11" s="26">
        <v>3</v>
      </c>
      <c r="E11" s="26">
        <v>4</v>
      </c>
      <c r="F11" s="26">
        <v>5</v>
      </c>
      <c r="G11" s="26">
        <v>6</v>
      </c>
      <c r="H11" s="26">
        <v>7</v>
      </c>
      <c r="I11" s="26">
        <v>6</v>
      </c>
      <c r="J11" s="26">
        <v>7</v>
      </c>
      <c r="K11" s="26">
        <v>8</v>
      </c>
      <c r="L11" s="26">
        <v>11</v>
      </c>
      <c r="M11" s="26">
        <v>12</v>
      </c>
      <c r="N11" s="26">
        <v>9</v>
      </c>
      <c r="O11" s="26">
        <v>10</v>
      </c>
      <c r="P11" s="26">
        <v>11</v>
      </c>
      <c r="Q11" s="26">
        <v>16</v>
      </c>
      <c r="R11" s="26">
        <v>17</v>
      </c>
      <c r="S11" s="4"/>
    </row>
    <row r="12" spans="2:19" s="5" customFormat="1" ht="8.25" customHeight="1" x14ac:dyDescent="0.25">
      <c r="B12" s="1">
        <v>2025</v>
      </c>
      <c r="C12" s="2" t="s">
        <v>15</v>
      </c>
      <c r="D12" s="3">
        <f>'[1]2025'!E12/'[1]2025'!E15*100</f>
        <v>83.007940287182109</v>
      </c>
      <c r="E12" s="3">
        <f>'[1]2025'!AC12/'[1]2025'!AC15*100</f>
        <v>84.674738062427551</v>
      </c>
      <c r="F12" s="3">
        <f>'[1]2025'!K12/'[1]2025'!K15*100</f>
        <v>78.967322860741035</v>
      </c>
      <c r="G12" s="3">
        <f>'[1]2025'!Q12/'[1]2025'!Q15*100</f>
        <v>80.622912734136776</v>
      </c>
      <c r="H12" s="3">
        <f>'[1]2025'!W12/'[1]2025'!W15*100</f>
        <v>74.478859390363823</v>
      </c>
      <c r="I12" s="3">
        <f>'[1]2025'!E13/'[1]2025'!E15*100</f>
        <v>79.771818368350338</v>
      </c>
      <c r="J12" s="3">
        <f>'[1]2025'!AC13/'[1]2025'!AC15*100</f>
        <v>82.400966817595204</v>
      </c>
      <c r="K12" s="3">
        <f>'[1]2025'!K13/'[1]2025'!K15*100</f>
        <v>73.398289918472841</v>
      </c>
      <c r="L12" s="3">
        <f>'[1]2025'!Q13/'[1]2025'!Q15*100</f>
        <v>74.733192972266579</v>
      </c>
      <c r="M12" s="3">
        <f>'[1]2025'!W13/'[1]2025'!W15*100</f>
        <v>69.778761061946909</v>
      </c>
      <c r="N12" s="3">
        <f>'[1]2025'!E14/'[1]2025'!E15*100</f>
        <v>3.2361219188317594</v>
      </c>
      <c r="O12" s="3">
        <f>'[1]2025'!AC14/'[1]2025'!AC15*100</f>
        <v>2.2732244023011132</v>
      </c>
      <c r="P12" s="3">
        <f>'[1]2025'!K14/'[1]2025'!K15*100</f>
        <v>5.570358586862862</v>
      </c>
      <c r="Q12" s="3">
        <f>'[1]2025'!Q14/'[1]2025'!Q15*100</f>
        <v>5.8897197618701904</v>
      </c>
      <c r="R12" s="3">
        <f>'[1]2025'!W14/'[1]2025'!W15*100</f>
        <v>4.7000983284169129</v>
      </c>
      <c r="S12" s="4"/>
    </row>
    <row r="13" spans="2:19" s="5" customFormat="1" ht="8.25" customHeight="1" x14ac:dyDescent="0.25">
      <c r="B13" s="1">
        <v>2025</v>
      </c>
      <c r="C13" s="2" t="s">
        <v>16</v>
      </c>
      <c r="D13" s="3">
        <f>'[1]2025'!C12/'[1]2025'!C15*100</f>
        <v>75.426664197248698</v>
      </c>
      <c r="E13" s="3">
        <f>'[1]2025'!AA12/'[1]2025'!AA15*100</f>
        <v>79.158900599842752</v>
      </c>
      <c r="F13" s="3">
        <f>'[1]2025'!I12/'[1]2025'!I15*100</f>
        <v>65.984142439838649</v>
      </c>
      <c r="G13" s="3">
        <f>'[1]2025'!O12/'[1]2025'!O15*100</f>
        <v>65.133902155032558</v>
      </c>
      <c r="H13" s="3">
        <f>'[1]2025'!U12/'[1]2025'!U15*100</f>
        <v>68.268293933644429</v>
      </c>
      <c r="I13" s="3">
        <f>'[1]2025'!C13/'[1]2025'!C15*100</f>
        <v>73.075725752745598</v>
      </c>
      <c r="J13" s="3">
        <f>'[1]2025'!AA13/'[1]2025'!AA15*100</f>
        <v>77.454489473886781</v>
      </c>
      <c r="K13" s="3">
        <f>'[1]2025'!I13/'[1]2025'!I15*100</f>
        <v>61.998887188760612</v>
      </c>
      <c r="L13" s="3">
        <f>'[1]2025'!O13/'[1]2025'!O15*100</f>
        <v>61.100612724045135</v>
      </c>
      <c r="M13" s="3">
        <f>'[1]2025'!U13/'[1]2025'!U15*100</f>
        <v>64.406953489564629</v>
      </c>
      <c r="N13" s="3">
        <f>'[1]2025'!C14/'[1]2025'!C15*100</f>
        <v>2.350938444503115</v>
      </c>
      <c r="O13" s="3">
        <f>'[1]2025'!AA14/'[1]2025'!AA15*100</f>
        <v>1.7044111259559822</v>
      </c>
      <c r="P13" s="3">
        <f>'[1]2025'!I14/'[1]2025'!I15*100</f>
        <v>3.9866462651272778</v>
      </c>
      <c r="Q13" s="3">
        <f>'[1]2025'!O14/'[1]2025'!O15*100</f>
        <v>4.0332894309874208</v>
      </c>
      <c r="R13" s="3">
        <f>'[1]2025'!U14/'[1]2025'!U15*100</f>
        <v>3.8613404440797909</v>
      </c>
      <c r="S13" s="4"/>
    </row>
    <row r="14" spans="2:19" s="5" customFormat="1" ht="8.25" customHeight="1" x14ac:dyDescent="0.25">
      <c r="B14" s="1">
        <v>2025</v>
      </c>
      <c r="C14" s="2" t="s">
        <v>7</v>
      </c>
      <c r="D14" s="3">
        <f>'[1]2025'!G12/'[1]2025'!G15*100</f>
        <v>79.25085046301902</v>
      </c>
      <c r="E14" s="3">
        <f>'[1]2025'!AE12/'[1]2025'!AE15*100</f>
        <v>81.924008016471603</v>
      </c>
      <c r="F14" s="3">
        <f>'[1]2025'!M12/'[1]2025'!M15*100</f>
        <v>72.632614966909898</v>
      </c>
      <c r="G14" s="3">
        <f>'[1]2025'!S12/'[1]2025'!S15*100</f>
        <v>73.074382471972839</v>
      </c>
      <c r="H14" s="3">
        <f>'[1]2025'!Y12/'[1]2025'!Y15*100</f>
        <v>71.440763052208851</v>
      </c>
      <c r="I14" s="3">
        <f>'[1]2025'!F13/'[1]2025'!G15*100</f>
        <v>79.348297316403489</v>
      </c>
      <c r="J14" s="3">
        <f>'[1]2025'!AE13/'[1]2025'!AE15*100</f>
        <v>79.934420656396583</v>
      </c>
      <c r="K14" s="3">
        <f>'[1]2025'!M13/'[1]2025'!M15*100</f>
        <v>67.835058544035292</v>
      </c>
      <c r="L14" s="3">
        <f>'[1]2025'!S13/'[1]2025'!S15*100</f>
        <v>68.088570498209052</v>
      </c>
      <c r="M14" s="3">
        <f>'[1]2025'!Y13/'[1]2025'!Y15*100</f>
        <v>67.15110441767068</v>
      </c>
      <c r="N14" s="3">
        <f>'[1]2025'!G14/'[1]2025'!G15*100</f>
        <v>2.7974472439530227</v>
      </c>
      <c r="O14" s="3">
        <f>'[1]2025'!AE14/'[1]2025'!AE15*100</f>
        <v>1.9895873600750105</v>
      </c>
      <c r="P14" s="3">
        <f>'[1]2025'!M14/'[1]2025'!M15*100</f>
        <v>4.796877651450874</v>
      </c>
      <c r="Q14" s="3">
        <f>'[1]2025'!S14/'[1]2025'!S15*100</f>
        <v>4.9848816113876353</v>
      </c>
      <c r="R14" s="3">
        <f>'[1]2025'!Y14/'[1]2025'!Y15*100</f>
        <v>4.2896586345381529</v>
      </c>
      <c r="S14" s="4"/>
    </row>
    <row r="15" spans="2:19" s="5" customFormat="1" ht="8.25" customHeight="1" x14ac:dyDescent="0.25">
      <c r="B15" s="1">
        <v>2024</v>
      </c>
      <c r="C15" s="2" t="s">
        <v>15</v>
      </c>
      <c r="D15" s="3">
        <f>'[1]2024'!E12/'[1]2024'!E15*100</f>
        <v>82.400838532414127</v>
      </c>
      <c r="E15" s="3">
        <f>'[1]2024'!AC12/'[1]2024'!AC15*100</f>
        <v>84.100114573415738</v>
      </c>
      <c r="F15" s="3">
        <f>'[1]2024'!K12/'[1]2024'!K15*100</f>
        <v>78.108269695899125</v>
      </c>
      <c r="G15" s="3">
        <f>'[1]2024'!Q12/'[1]2024'!Q15*100</f>
        <v>79.449667167306387</v>
      </c>
      <c r="H15" s="3">
        <f>'[1]2024'!W12/'[1]2024'!W15*100</f>
        <v>74.429130854905139</v>
      </c>
      <c r="I15" s="3">
        <f>'[1]2024'!E13/'[1]2024'!E15*100</f>
        <v>79.697573419755599</v>
      </c>
      <c r="J15" s="3">
        <f>'[1]2024'!AC13/'[1]2024'!AC15*100</f>
        <v>82.063074548026705</v>
      </c>
      <c r="K15" s="3">
        <f>'[1]2024'!K13/'[1]2024'!K15*100</f>
        <v>73.722042557817204</v>
      </c>
      <c r="L15" s="3">
        <f>'[1]2024'!Q13/'[1]2024'!Q15*100</f>
        <v>75.125623481856465</v>
      </c>
      <c r="M15" s="3">
        <f>'[1]2024'!W13/'[1]2024'!W15*100</f>
        <v>69.877434775975189</v>
      </c>
      <c r="N15" s="3">
        <f>'[1]2024'!E14/'[1]2024'!E15*100</f>
        <v>2.7032651126585252</v>
      </c>
      <c r="O15" s="3">
        <f>'[1]2024'!AC14/'[1]2024'!AC15*100</f>
        <v>2.0370400253890386</v>
      </c>
      <c r="P15" s="3">
        <f>'[1]2024'!K14/'[1]2024'!K15*100</f>
        <v>4.3862271380819084</v>
      </c>
      <c r="Q15" s="3">
        <f>'[1]2024'!Q14/'[1]2024'!Q15*100</f>
        <v>4.3240436854499267</v>
      </c>
      <c r="R15" s="3">
        <f>'[1]2024'!W14/'[1]2024'!W15*100</f>
        <v>4.5567817728729088</v>
      </c>
      <c r="S15" s="4"/>
    </row>
    <row r="16" spans="2:19" s="5" customFormat="1" ht="8.25" customHeight="1" x14ac:dyDescent="0.25">
      <c r="B16" s="1">
        <v>2024</v>
      </c>
      <c r="C16" s="2" t="s">
        <v>16</v>
      </c>
      <c r="D16" s="3">
        <f>'[1]2024'!C12/'[1]2024'!C15*100</f>
        <v>74.995780822562992</v>
      </c>
      <c r="E16" s="3">
        <f>'[1]2024'!AA12/'[1]2024'!AA15*100</f>
        <v>78.947196373700606</v>
      </c>
      <c r="F16" s="3">
        <f>'[1]2024'!I12/'[1]2024'!I15*100</f>
        <v>64.813801041535086</v>
      </c>
      <c r="G16" s="3">
        <f>'[1]2024'!O12/'[1]2024'!O15*100</f>
        <v>63.059025460093444</v>
      </c>
      <c r="H16" s="3">
        <f>'[1]2024'!U12/'[1]2024'!U15*100</f>
        <v>69.706476656386258</v>
      </c>
      <c r="I16" s="3">
        <f>'[1]2024'!C13/'[1]2024'!C15*100</f>
        <v>72.69152121951889</v>
      </c>
      <c r="J16" s="3">
        <f>'[1]2024'!AA13/'[1]2024'!AA15*100</f>
        <v>77.31111207967399</v>
      </c>
      <c r="K16" s="3">
        <f>'[1]2024'!I13/'[1]2024'!I15*100</f>
        <v>60.789433051192432</v>
      </c>
      <c r="L16" s="3">
        <f>'[1]2024'!O13/'[1]2024'!O15*100</f>
        <v>58.985410508248307</v>
      </c>
      <c r="M16" s="3">
        <f>'[1]2024'!U13/'[1]2024'!U15*100</f>
        <v>65.819419334255031</v>
      </c>
      <c r="N16" s="3">
        <f>'[1]2024'!C14/'[1]2024'!C15*100</f>
        <v>2.3042596030440876</v>
      </c>
      <c r="O16" s="3">
        <f>'[1]2024'!AA14/'[1]2024'!AA15*100</f>
        <v>1.6360842940266307</v>
      </c>
      <c r="P16" s="3">
        <f>'[1]2024'!I14/'[1]2024'!I15*100</f>
        <v>4.0257716764222851</v>
      </c>
      <c r="Q16" s="3">
        <f>'[1]2024'!O14/'[1]2024'!O15*100</f>
        <v>4.0736149518451414</v>
      </c>
      <c r="R16" s="3">
        <f>'[1]2024'!U14/'[1]2024'!U15*100</f>
        <v>3.8870573221312341</v>
      </c>
      <c r="S16" s="4"/>
    </row>
    <row r="17" spans="2:19" s="5" customFormat="1" ht="8.25" customHeight="1" x14ac:dyDescent="0.25">
      <c r="B17" s="1">
        <v>2024</v>
      </c>
      <c r="C17" s="2" t="s">
        <v>7</v>
      </c>
      <c r="D17" s="3">
        <f>'[1]2024'!G12/'[1]2024'!G15*100</f>
        <v>78.732232786948998</v>
      </c>
      <c r="E17" s="3">
        <f>'[1]2024'!AE12/'[1]2024'!AE15*100</f>
        <v>81.540106372900624</v>
      </c>
      <c r="F17" s="3">
        <f>'[1]2024'!M12/'[1]2024'!M15*100</f>
        <v>71.569717264473368</v>
      </c>
      <c r="G17" s="3">
        <f>'[1]2024'!S12/'[1]2024'!S15*100</f>
        <v>71.370550739898079</v>
      </c>
      <c r="H17" s="3">
        <f>'[1]2024'!Y12/'[1]2024'!Y15*100</f>
        <v>72.120408640723696</v>
      </c>
      <c r="I17" s="3">
        <f>'[1]2024'!F13/'[1]2024'!G15*100</f>
        <v>79.043535748313218</v>
      </c>
      <c r="J17" s="3">
        <f>'[1]2024'!AE13/'[1]2024'!AE15*100</f>
        <v>79.702264145836438</v>
      </c>
      <c r="K17" s="3">
        <f>'[1]2024'!M13/'[1]2024'!M15*100</f>
        <v>67.360789864328368</v>
      </c>
      <c r="L17" s="3">
        <f>'[1]2024'!S13/'[1]2024'!S15*100</f>
        <v>67.169020175620034</v>
      </c>
      <c r="M17" s="3">
        <f>'[1]2024'!Y13/'[1]2024'!Y15*100</f>
        <v>67.891029140346788</v>
      </c>
      <c r="N17" s="3">
        <f>'[1]2024'!G14/'[1]2024'!G15*100</f>
        <v>2.5055902311925182</v>
      </c>
      <c r="O17" s="3">
        <f>'[1]2024'!AE14/'[1]2024'!AE15*100</f>
        <v>1.8378422270641892</v>
      </c>
      <c r="P17" s="3">
        <f>'[1]2024'!M14/'[1]2024'!M15*100</f>
        <v>4.2089274001449928</v>
      </c>
      <c r="Q17" s="3">
        <f>'[1]2024'!S14/'[1]2024'!S15*100</f>
        <v>4.201530564278058</v>
      </c>
      <c r="R17" s="3">
        <f>'[1]2024'!Y14/'[1]2024'!Y15*100</f>
        <v>4.2293795003769263</v>
      </c>
      <c r="S17" s="4"/>
    </row>
    <row r="18" spans="2:19" s="5" customFormat="1" ht="8.25" customHeight="1" x14ac:dyDescent="0.25">
      <c r="B18" s="1">
        <v>2023</v>
      </c>
      <c r="C18" s="2" t="s">
        <v>15</v>
      </c>
      <c r="D18" s="3">
        <f>'[1]2023'!E12/'[1]2023'!E15*100</f>
        <v>82.515455801424793</v>
      </c>
      <c r="E18" s="3">
        <f>'[1]2023'!AC12/'[1]2023'!AC15*100</f>
        <v>84.103122272349651</v>
      </c>
      <c r="F18" s="3">
        <f>'[1]2023'!K12/'[1]2023'!K15*100</f>
        <v>78.134745086663287</v>
      </c>
      <c r="G18" s="3">
        <f>'[1]2023'!Q12/'[1]2023'!Q15*100</f>
        <v>80.127695084321445</v>
      </c>
      <c r="H18" s="3">
        <f>'[1]2023'!W12/'[1]2023'!W15*100</f>
        <v>72.242319839219064</v>
      </c>
      <c r="I18" s="3">
        <f>'[1]2023'!E13/'[1]2023'!E15*100</f>
        <v>79.94990853870317</v>
      </c>
      <c r="J18" s="3">
        <f>'[1]2023'!AC13/'[1]2023'!AC15*100</f>
        <v>82.096097422469001</v>
      </c>
      <c r="K18" s="3">
        <f>'[1]2023'!K13/'[1]2023'!K15*100</f>
        <v>74.028573500616417</v>
      </c>
      <c r="L18" s="3">
        <f>'[1]2023'!Q13/'[1]2023'!Q15*100</f>
        <v>76.005744338139692</v>
      </c>
      <c r="M18" s="3">
        <f>'[1]2023'!W13/'[1]2023'!W15*100</f>
        <v>68.182601205857026</v>
      </c>
      <c r="N18" s="3">
        <f>'[1]2023'!E14/'[1]2023'!E15*100</f>
        <v>2.5655472627216103</v>
      </c>
      <c r="O18" s="3">
        <f>'[1]2023'!AC14/'[1]2023'!AC15*100</f>
        <v>2.0070248498806409</v>
      </c>
      <c r="P18" s="3">
        <f>'[1]2023'!K14/'[1]2023'!K15*100</f>
        <v>4.1061715860468491</v>
      </c>
      <c r="Q18" s="3">
        <f>'[1]2023'!Q14/'[1]2023'!Q15*100</f>
        <v>4.1219507461817617</v>
      </c>
      <c r="R18" s="3">
        <f>'[1]2023'!W14/'[1]2023'!W15*100</f>
        <v>4.0597186333620447</v>
      </c>
      <c r="S18" s="4"/>
    </row>
    <row r="19" spans="2:19" s="5" customFormat="1" ht="8.25" customHeight="1" x14ac:dyDescent="0.25">
      <c r="B19" s="1">
        <v>2023</v>
      </c>
      <c r="C19" s="2" t="s">
        <v>16</v>
      </c>
      <c r="D19" s="3">
        <f>'[1]2023'!C12/'[1]2023'!C15*100</f>
        <v>74.553347934918648</v>
      </c>
      <c r="E19" s="3">
        <f>'[1]2023'!AA12/'[1]2023'!AA15*100</f>
        <v>78.588220411347365</v>
      </c>
      <c r="F19" s="3">
        <f>'[1]2023'!I12/'[1]2023'!I15*100</f>
        <v>62.947409911617122</v>
      </c>
      <c r="G19" s="3">
        <f>'[1]2023'!O12/'[1]2023'!O15*100</f>
        <v>62.022548547584655</v>
      </c>
      <c r="H19" s="3">
        <f>'[1]2023'!U12/'[1]2023'!U15*100</f>
        <v>65.814458578963695</v>
      </c>
      <c r="I19" s="3">
        <f>'[1]2023'!C13/'[1]2023'!C15*100</f>
        <v>72.661921151439287</v>
      </c>
      <c r="J19" s="3">
        <f>'[1]2023'!AA13/'[1]2023'!AA15*100</f>
        <v>77.041714544745361</v>
      </c>
      <c r="K19" s="3">
        <f>'[1]2023'!I13/'[1]2023'!I15*100</f>
        <v>60.063975258857241</v>
      </c>
      <c r="L19" s="3">
        <f>'[1]2023'!O13/'[1]2023'!O15*100</f>
        <v>58.927138501043174</v>
      </c>
      <c r="M19" s="3">
        <f>'[1]2023'!U13/'[1]2023'!U15*100</f>
        <v>63.580515048091833</v>
      </c>
      <c r="N19" s="3">
        <f>'[1]2023'!C14/'[1]2023'!C15*100</f>
        <v>1.891426783479349</v>
      </c>
      <c r="O19" s="3">
        <f>'[1]2023'!AA14/'[1]2023'!AA15*100</f>
        <v>1.5465058666020093</v>
      </c>
      <c r="P19" s="3">
        <f>'[1]2023'!I14/'[1]2023'!I15*100</f>
        <v>2.8834346527598806</v>
      </c>
      <c r="Q19" s="3">
        <f>'[1]2023'!O14/'[1]2023'!O15*100</f>
        <v>3.095410046541486</v>
      </c>
      <c r="R19" s="3">
        <f>'[1]2023'!U14/'[1]2023'!U15*100</f>
        <v>2.2339435308718585</v>
      </c>
      <c r="S19" s="4"/>
    </row>
    <row r="20" spans="2:19" s="5" customFormat="1" ht="8.25" customHeight="1" x14ac:dyDescent="0.25">
      <c r="B20" s="1">
        <v>2023</v>
      </c>
      <c r="C20" s="2" t="s">
        <v>7</v>
      </c>
      <c r="D20" s="3">
        <f>'[1]2023'!G12/'[1]2023'!G15*100</f>
        <v>78.560897579092753</v>
      </c>
      <c r="E20" s="3">
        <f>'[1]2023'!AE12/'[1]2023'!AE15*100</f>
        <v>81.349039220847587</v>
      </c>
      <c r="F20" s="3">
        <f>'[1]2023'!M12/'[1]2023'!M15*100</f>
        <v>70.710192947734356</v>
      </c>
      <c r="G20" s="3">
        <f>'[1]2023'!S12/'[1]2023'!S15*100</f>
        <v>71.224242185111024</v>
      </c>
      <c r="H20" s="3">
        <f>'[1]2023'!Y12/'[1]2023'!Y15*100</f>
        <v>69.152997315836558</v>
      </c>
      <c r="I20" s="3">
        <f>'[1]2023'!F13/'[1]2023'!G15*100</f>
        <v>78.998343068373202</v>
      </c>
      <c r="J20" s="3">
        <f>'[1]2023'!AE13/'[1]2023'!AE15*100</f>
        <v>79.571992629639382</v>
      </c>
      <c r="K20" s="3">
        <f>'[1]2023'!M13/'[1]2023'!M15*100</f>
        <v>67.201108912065351</v>
      </c>
      <c r="L20" s="3">
        <f>'[1]2023'!S13/'[1]2023'!S15*100</f>
        <v>67.608037326020693</v>
      </c>
      <c r="M20" s="3">
        <f>'[1]2023'!Y13/'[1]2023'!Y15*100</f>
        <v>65.970772442588725</v>
      </c>
      <c r="N20" s="3">
        <f>'[1]2023'!G14/'[1]2023'!G15*100</f>
        <v>2.2307388982667291</v>
      </c>
      <c r="O20" s="3">
        <f>'[1]2023'!AE14/'[1]2023'!AE15*100</f>
        <v>1.7767833640431694</v>
      </c>
      <c r="P20" s="3">
        <f>'[1]2023'!M14/'[1]2023'!M15*100</f>
        <v>3.5090840356690167</v>
      </c>
      <c r="Q20" s="3">
        <f>'[1]2023'!S14/'[1]2023'!S15*100</f>
        <v>3.6171912761277216</v>
      </c>
      <c r="R20" s="3">
        <f>'[1]2023'!Y14/'[1]2023'!Y15*100</f>
        <v>3.1822248732478373</v>
      </c>
      <c r="S20" s="4"/>
    </row>
    <row r="21" spans="2:19" s="5" customFormat="1" ht="8.25" customHeight="1" x14ac:dyDescent="0.25">
      <c r="B21" s="1">
        <v>2022</v>
      </c>
      <c r="C21" s="2" t="s">
        <v>15</v>
      </c>
      <c r="D21" s="3">
        <f>'[1]2022'!E12/'[1]2022'!E15*100</f>
        <v>82.432238912261823</v>
      </c>
      <c r="E21" s="3">
        <f>'[1]2022'!AC12/'[1]2022'!AC15*100</f>
        <v>83.755563788542105</v>
      </c>
      <c r="F21" s="3">
        <f>'[1]2022'!K12/'[1]2022'!K15*100</f>
        <v>78.631799790199324</v>
      </c>
      <c r="G21" s="3">
        <f>'[1]2022'!Q12/'[1]2022'!Q15*100</f>
        <v>81.92075570716348</v>
      </c>
      <c r="H21" s="3">
        <f>'[1]2022'!W12/'[1]2022'!W15*100</f>
        <v>69.160944955196086</v>
      </c>
      <c r="I21" s="3">
        <f>'[1]2022'!E13/'[1]2022'!E15*100</f>
        <v>79.743856702184075</v>
      </c>
      <c r="J21" s="3">
        <f>'[1]2022'!AC13/'[1]2022'!AC15*100</f>
        <v>81.601014396710511</v>
      </c>
      <c r="K21" s="3">
        <f>'[1]2022'!K13/'[1]2022'!K15*100</f>
        <v>74.408811628952492</v>
      </c>
      <c r="L21" s="3">
        <f>'[1]2022'!Q13/'[1]2022'!Q15*100</f>
        <v>77.244010253718983</v>
      </c>
      <c r="M21" s="3">
        <f>'[1]2022'!W13/'[1]2022'!W15*100</f>
        <v>66.239962760386362</v>
      </c>
      <c r="N21" s="3">
        <f>'[1]2022'!E14/'[1]2022'!E15*100</f>
        <v>2.6883822100777564</v>
      </c>
      <c r="O21" s="3">
        <f>'[1]2022'!AC14/'[1]2022'!AC15*100</f>
        <v>2.1540275828241349</v>
      </c>
      <c r="P21" s="3">
        <f>'[1]2022'!K14/'[1]2022'!K15*100</f>
        <v>4.2229881612468159</v>
      </c>
      <c r="Q21" s="3">
        <f>'[1]2022'!Q14/'[1]2022'!Q15*100</f>
        <v>4.6767454534444832</v>
      </c>
      <c r="R21" s="3">
        <f>'[1]2022'!W14/'[1]2022'!W15*100</f>
        <v>2.9151635051786333</v>
      </c>
      <c r="S21" s="4"/>
    </row>
    <row r="22" spans="2:19" s="5" customFormat="1" ht="8.25" customHeight="1" x14ac:dyDescent="0.25">
      <c r="B22" s="1">
        <v>2022</v>
      </c>
      <c r="C22" s="2" t="s">
        <v>16</v>
      </c>
      <c r="D22" s="3">
        <f>'[1]2022'!C12/'[1]2022'!C15*100</f>
        <v>74.521449811643905</v>
      </c>
      <c r="E22" s="3">
        <f>'[1]2022'!AA12/'[1]2022'!AA15*100</f>
        <v>77.980768728006652</v>
      </c>
      <c r="F22" s="3">
        <f>'[1]2022'!I12/'[1]2022'!I15*100</f>
        <v>64.072962728995577</v>
      </c>
      <c r="G22" s="3">
        <f>'[1]2022'!O12/'[1]2022'!O15*100</f>
        <v>63.841415988732628</v>
      </c>
      <c r="H22" s="3">
        <f>'[1]2022'!U12/'[1]2022'!U15*100</f>
        <v>64.766016889961264</v>
      </c>
      <c r="I22" s="3">
        <f>'[1]2022'!C13/'[1]2022'!C15*100</f>
        <v>72.646138012578021</v>
      </c>
      <c r="J22" s="3">
        <f>'[1]2022'!AA13/'[1]2022'!AA15*100</f>
        <v>76.373456870813754</v>
      </c>
      <c r="K22" s="3">
        <f>'[1]2022'!I13/'[1]2022'!I15*100</f>
        <v>61.388186986734041</v>
      </c>
      <c r="L22" s="3">
        <f>'[1]2022'!O13/'[1]2022'!O15*100</f>
        <v>60.984633495196661</v>
      </c>
      <c r="M22" s="3">
        <f>'[1]2022'!U13/'[1]2022'!U15*100</f>
        <v>62.600800050796877</v>
      </c>
      <c r="N22" s="3">
        <f>'[1]2022'!C14/'[1]2022'!C15*100</f>
        <v>1.8753117990658794</v>
      </c>
      <c r="O22" s="3">
        <f>'[1]2022'!AA14/'[1]2022'!AA15*100</f>
        <v>1.6073118571929037</v>
      </c>
      <c r="P22" s="3">
        <f>'[1]2022'!I14/'[1]2022'!I15*100</f>
        <v>2.6847757422615288</v>
      </c>
      <c r="Q22" s="3">
        <f>'[1]2022'!O14/'[1]2022'!O15*100</f>
        <v>2.8567824935359778</v>
      </c>
      <c r="R22" s="3">
        <f>'[1]2022'!U14/'[1]2022'!U15*100</f>
        <v>2.1652168391643913</v>
      </c>
      <c r="S22" s="4"/>
    </row>
    <row r="23" spans="2:19" s="5" customFormat="1" ht="8.25" customHeight="1" x14ac:dyDescent="0.25">
      <c r="B23" s="1">
        <v>2022</v>
      </c>
      <c r="C23" s="2" t="s">
        <v>7</v>
      </c>
      <c r="D23" s="3">
        <f>'[1]2022'!G12/'[1]2022'!G15*100</f>
        <v>78.506299944827958</v>
      </c>
      <c r="E23" s="3">
        <f>'[1]2022'!AE12/'[1]2022'!AE15*100</f>
        <v>80.871107257398947</v>
      </c>
      <c r="F23" s="3">
        <f>'[1]2022'!M12/'[1]2022'!M15*100</f>
        <v>71.543252595155707</v>
      </c>
      <c r="G23" s="3">
        <f>'[1]2022'!S12/'[1]2022'!S15*100</f>
        <v>73.064645674156139</v>
      </c>
      <c r="H23" s="3">
        <f>'[1]2022'!Y12/'[1]2022'!Y15*100</f>
        <v>67.057323293660431</v>
      </c>
      <c r="I23" s="3">
        <f>'[1]2022'!F13/'[1]2022'!G15*100</f>
        <v>78.696575239647444</v>
      </c>
      <c r="J23" s="3">
        <f>'[1]2022'!AE13/'[1]2022'!AE15*100</f>
        <v>78.990159104917296</v>
      </c>
      <c r="K23" s="3">
        <f>'[1]2022'!M13/'[1]2022'!M15*100</f>
        <v>68.069204152249142</v>
      </c>
      <c r="L23" s="3">
        <f>'[1]2022'!S13/'[1]2022'!S15*100</f>
        <v>69.279403587536294</v>
      </c>
      <c r="M23" s="3">
        <f>'[1]2022'!Y13/'[1]2022'!Y15*100</f>
        <v>64.500850133592408</v>
      </c>
      <c r="N23" s="3">
        <f>'[1]2022'!G14/'[1]2022'!G15*100</f>
        <v>2.28486317139788</v>
      </c>
      <c r="O23" s="3">
        <f>'[1]2022'!AE14/'[1]2022'!AE15*100</f>
        <v>1.8809481524816394</v>
      </c>
      <c r="P23" s="3">
        <f>'[1]2022'!M14/'[1]2022'!M15*100</f>
        <v>3.4740484429065743</v>
      </c>
      <c r="Q23" s="3">
        <f>'[1]2022'!S14/'[1]2022'!S15*100</f>
        <v>3.7852420866198484</v>
      </c>
      <c r="R23" s="3">
        <f>'[1]2022'!Y14/'[1]2022'!Y15*100</f>
        <v>2.5564731600680108</v>
      </c>
      <c r="S23" s="4"/>
    </row>
    <row r="24" spans="2:19" s="5" customFormat="1" ht="8.25" customHeight="1" x14ac:dyDescent="0.25">
      <c r="B24" s="1">
        <v>2021</v>
      </c>
      <c r="C24" s="2" t="s">
        <v>15</v>
      </c>
      <c r="D24" s="3">
        <f>'[1]2021'!E12/'[1]2021'!E15*100</f>
        <v>81.201572979568354</v>
      </c>
      <c r="E24" s="3">
        <f>'[1]2021'!AC12/'[1]2021'!AC15*100</f>
        <v>82.649277917498495</v>
      </c>
      <c r="F24" s="3">
        <f>'[1]2021'!K12/'[1]2021'!K15*100</f>
        <v>76.874777135238219</v>
      </c>
      <c r="G24" s="3">
        <f>'[1]2021'!Q12/'[1]2021'!Q15*100</f>
        <v>79.807426027309717</v>
      </c>
      <c r="H24" s="3">
        <f>'[1]2021'!W12/'[1]2021'!W15*100</f>
        <v>69.034058548809654</v>
      </c>
      <c r="I24" s="3">
        <f>'[1]2021'!E13/'[1]2021'!E15*100</f>
        <v>78.097969270942613</v>
      </c>
      <c r="J24" s="3">
        <f>'[1]2021'!AC13/'[1]2021'!AC15*100</f>
        <v>80.179937255308658</v>
      </c>
      <c r="K24" s="3">
        <f>'[1]2021'!K13/'[1]2021'!K15*100</f>
        <v>71.873304289855966</v>
      </c>
      <c r="L24" s="3">
        <f>'[1]2021'!Q13/'[1]2021'!Q15*100</f>
        <v>74.567028097905975</v>
      </c>
      <c r="M24" s="3">
        <f>'[1]2021'!W13/'[1]2021'!W15*100</f>
        <v>64.665679462353339</v>
      </c>
      <c r="N24" s="3">
        <f>'[1]2021'!E14/'[1]2021'!E15*100</f>
        <v>3.1036037086257413</v>
      </c>
      <c r="O24" s="3">
        <f>'[1]2021'!AC14/'[1]2021'!AC15*100</f>
        <v>2.4688221110218049</v>
      </c>
      <c r="P24" s="3">
        <f>'[1]2021'!K14/'[1]2021'!K15*100</f>
        <v>5.0014728453822421</v>
      </c>
      <c r="Q24" s="3">
        <f>'[1]2021'!Q14/'[1]2021'!Q15*100</f>
        <v>5.2382676863430113</v>
      </c>
      <c r="R24" s="3">
        <f>'[1]2021'!W14/'[1]2021'!W15*100</f>
        <v>4.3683790864563159</v>
      </c>
      <c r="S24" s="4"/>
    </row>
    <row r="25" spans="2:19" s="5" customFormat="1" ht="8.25" customHeight="1" x14ac:dyDescent="0.25">
      <c r="B25" s="1">
        <v>2021</v>
      </c>
      <c r="C25" s="2" t="s">
        <v>16</v>
      </c>
      <c r="D25" s="3">
        <f>'[1]2021'!C12/'[1]2021'!C15*100</f>
        <v>72.885957645827787</v>
      </c>
      <c r="E25" s="3">
        <f>'[1]2021'!AA12/'[1]2021'!AA15*100</f>
        <v>76.178741154253217</v>
      </c>
      <c r="F25" s="3">
        <f>'[1]2021'!I12/'[1]2021'!I15*100</f>
        <v>62.228603093043169</v>
      </c>
      <c r="G25" s="3">
        <f>'[1]2021'!O12/'[1]2021'!O15*100</f>
        <v>62.176414189837018</v>
      </c>
      <c r="H25" s="3">
        <f>'[1]2021'!U12/'[1]2021'!U15*100</f>
        <v>62.373785482949131</v>
      </c>
      <c r="I25" s="3">
        <f>'[1]2021'!C13/'[1]2021'!C15*100</f>
        <v>70.760718348322044</v>
      </c>
      <c r="J25" s="3">
        <f>'[1]2021'!AA13/'[1]2021'!AA15*100</f>
        <v>74.354078900948394</v>
      </c>
      <c r="K25" s="3">
        <f>'[1]2021'!I13/'[1]2021'!I15*100</f>
        <v>59.130522391819049</v>
      </c>
      <c r="L25" s="3">
        <f>'[1]2021'!O13/'[1]2021'!O15*100</f>
        <v>58.91886956124732</v>
      </c>
      <c r="M25" s="3">
        <f>'[1]2021'!U13/'[1]2021'!U15*100</f>
        <v>59.719311614910787</v>
      </c>
      <c r="N25" s="3">
        <f>'[1]2021'!C14/'[1]2021'!C15*100</f>
        <v>2.1252392975057566</v>
      </c>
      <c r="O25" s="3">
        <f>'[1]2021'!AA14/'[1]2021'!AA15*100</f>
        <v>1.8251810654325855</v>
      </c>
      <c r="P25" s="3">
        <f>'[1]2021'!I14/'[1]2021'!I15*100</f>
        <v>3.0964015246922916</v>
      </c>
      <c r="Q25" s="3">
        <f>'[1]2021'!O14/'[1]2021'!O15*100</f>
        <v>3.2575446285896912</v>
      </c>
      <c r="R25" s="3">
        <f>'[1]2021'!U14/'[1]2021'!U15*100</f>
        <v>2.6481234520861117</v>
      </c>
      <c r="S25" s="4"/>
    </row>
    <row r="26" spans="2:19" s="5" customFormat="1" ht="8.25" customHeight="1" x14ac:dyDescent="0.25">
      <c r="B26" s="1">
        <v>2021</v>
      </c>
      <c r="C26" s="2" t="s">
        <v>7</v>
      </c>
      <c r="D26" s="3">
        <f>'[1]2021'!G12/'[1]2021'!G15*100</f>
        <v>77.084923486256173</v>
      </c>
      <c r="E26" s="3">
        <f>'[1]2021'!AE12/'[1]2021'!AE15*100</f>
        <v>79.414823401877115</v>
      </c>
      <c r="F26" s="3">
        <f>'[1]2021'!M12/'[1]2021'!M15*100</f>
        <v>69.842971609137948</v>
      </c>
      <c r="G26" s="3">
        <f>'[1]2021'!S12/'[1]2021'!S15*100</f>
        <v>71.296653406649099</v>
      </c>
      <c r="H26" s="3">
        <f>'[1]2021'!Y12/'[1]2021'!Y15*100</f>
        <v>65.885002251914131</v>
      </c>
      <c r="I26" s="3">
        <f>'[1]2021'!F13/'[1]2021'!G15*100</f>
        <v>76.5557336744845</v>
      </c>
      <c r="J26" s="3">
        <f>'[1]2021'!AE13/'[1]2021'!AE15*100</f>
        <v>77.267740856291482</v>
      </c>
      <c r="K26" s="3">
        <f>'[1]2021'!M13/'[1]2021'!M15*100</f>
        <v>65.756041723765463</v>
      </c>
      <c r="L26" s="3">
        <f>'[1]2021'!S13/'[1]2021'!S15*100</f>
        <v>67.013410616094944</v>
      </c>
      <c r="M26" s="3">
        <f>'[1]2021'!Y13/'[1]2021'!Y15*100</f>
        <v>62.329980483410893</v>
      </c>
      <c r="N26" s="3">
        <f>'[1]2021'!G14/'[1]2021'!G15*100</f>
        <v>2.6192639218910343</v>
      </c>
      <c r="O26" s="3">
        <f>'[1]2021'!AE14/'[1]2021'!AE15*100</f>
        <v>2.1470825455856306</v>
      </c>
      <c r="P26" s="3">
        <f>'[1]2021'!M14/'[1]2021'!M15*100</f>
        <v>4.0869298853724993</v>
      </c>
      <c r="Q26" s="3">
        <f>'[1]2021'!S14/'[1]2021'!S15*100</f>
        <v>4.2821408500369147</v>
      </c>
      <c r="R26" s="3">
        <f>'[1]2021'!Y14/'[1]2021'!Y15*100</f>
        <v>3.5550217685032277</v>
      </c>
      <c r="S26" s="4"/>
    </row>
    <row r="27" spans="2:19" s="5" customFormat="1" ht="8.25" customHeight="1" x14ac:dyDescent="0.25">
      <c r="B27" s="2">
        <v>2019</v>
      </c>
      <c r="C27" s="2" t="s">
        <v>15</v>
      </c>
      <c r="D27" s="3">
        <v>83.03</v>
      </c>
      <c r="E27" s="3">
        <v>84.49</v>
      </c>
      <c r="F27" s="3">
        <v>78.47</v>
      </c>
      <c r="G27" s="3">
        <v>81.790000000000006</v>
      </c>
      <c r="H27" s="3">
        <v>61.64</v>
      </c>
      <c r="I27" s="3">
        <v>80</v>
      </c>
      <c r="J27" s="3">
        <v>82.12</v>
      </c>
      <c r="K27" s="3">
        <v>73.38</v>
      </c>
      <c r="L27" s="3">
        <v>76.55</v>
      </c>
      <c r="M27" s="3">
        <v>56.92</v>
      </c>
      <c r="N27" s="3">
        <v>3.03</v>
      </c>
      <c r="O27" s="3">
        <v>2.37</v>
      </c>
      <c r="P27" s="3">
        <v>5.09</v>
      </c>
      <c r="Q27" s="3">
        <v>5.24</v>
      </c>
      <c r="R27" s="3">
        <v>4.71</v>
      </c>
      <c r="S27" s="4"/>
    </row>
    <row r="28" spans="2:19" s="5" customFormat="1" ht="8.25" customHeight="1" x14ac:dyDescent="0.25">
      <c r="B28" s="2">
        <v>2019</v>
      </c>
      <c r="C28" s="2" t="s">
        <v>16</v>
      </c>
      <c r="D28" s="3">
        <v>73.760000000000005</v>
      </c>
      <c r="E28" s="3">
        <v>76.930000000000007</v>
      </c>
      <c r="F28" s="3">
        <v>62.96</v>
      </c>
      <c r="G28" s="3">
        <v>63.49</v>
      </c>
      <c r="H28" s="3">
        <v>52.55</v>
      </c>
      <c r="I28" s="3">
        <v>71.849999999999994</v>
      </c>
      <c r="J28" s="3">
        <v>75.37</v>
      </c>
      <c r="K28" s="3">
        <v>59.83</v>
      </c>
      <c r="L28" s="3">
        <v>60.43</v>
      </c>
      <c r="M28" s="3">
        <v>48.56</v>
      </c>
      <c r="N28" s="3">
        <v>1.91</v>
      </c>
      <c r="O28" s="3">
        <v>1.55</v>
      </c>
      <c r="P28" s="3">
        <v>3.13</v>
      </c>
      <c r="Q28" s="3">
        <v>3.06</v>
      </c>
      <c r="R28" s="3">
        <v>3.99</v>
      </c>
      <c r="S28" s="4"/>
    </row>
    <row r="29" spans="2:19" s="5" customFormat="1" ht="8.25" customHeight="1" x14ac:dyDescent="0.25">
      <c r="B29" s="2">
        <v>2019</v>
      </c>
      <c r="C29" s="2" t="s">
        <v>7</v>
      </c>
      <c r="D29" s="3">
        <v>78.459999999999994</v>
      </c>
      <c r="E29" s="3">
        <v>80.72</v>
      </c>
      <c r="F29" s="3">
        <v>71.08</v>
      </c>
      <c r="G29" s="3">
        <v>73.02</v>
      </c>
      <c r="H29" s="3">
        <v>57.54</v>
      </c>
      <c r="I29" s="3">
        <v>75.98</v>
      </c>
      <c r="J29" s="3">
        <v>78.75</v>
      </c>
      <c r="K29" s="3">
        <v>66.92</v>
      </c>
      <c r="L29" s="3">
        <v>68.83</v>
      </c>
      <c r="M29" s="3">
        <v>53.15</v>
      </c>
      <c r="N29" s="3">
        <v>2.48</v>
      </c>
      <c r="O29" s="3">
        <v>1.96</v>
      </c>
      <c r="P29" s="3">
        <v>4.16</v>
      </c>
      <c r="Q29" s="3">
        <v>4.2</v>
      </c>
      <c r="R29" s="3">
        <v>4.3899999999999997</v>
      </c>
      <c r="S29" s="4"/>
    </row>
    <row r="30" spans="2:19" s="5" customFormat="1" ht="8.25" customHeight="1" x14ac:dyDescent="0.25">
      <c r="B30" s="2">
        <v>2018</v>
      </c>
      <c r="C30" s="2" t="s">
        <v>15</v>
      </c>
      <c r="D30" s="3">
        <v>82.14</v>
      </c>
      <c r="E30" s="3">
        <v>83.7</v>
      </c>
      <c r="F30" s="3">
        <v>76.77</v>
      </c>
      <c r="G30" s="3">
        <v>80.5</v>
      </c>
      <c r="H30" s="3">
        <v>60.37</v>
      </c>
      <c r="I30" s="3">
        <v>79.08</v>
      </c>
      <c r="J30" s="3">
        <v>81.22</v>
      </c>
      <c r="K30" s="3">
        <v>71.7</v>
      </c>
      <c r="L30" s="3">
        <v>75.22</v>
      </c>
      <c r="M30" s="3">
        <v>56.17</v>
      </c>
      <c r="N30" s="3">
        <v>3.06</v>
      </c>
      <c r="O30" s="3">
        <v>2.48</v>
      </c>
      <c r="P30" s="3">
        <v>5.08</v>
      </c>
      <c r="Q30" s="3">
        <v>5.27</v>
      </c>
      <c r="R30" s="3">
        <v>4.2</v>
      </c>
      <c r="S30" s="3"/>
    </row>
    <row r="31" spans="2:19" s="5" customFormat="1" ht="8.25" customHeight="1" x14ac:dyDescent="0.25">
      <c r="B31" s="2">
        <v>2018</v>
      </c>
      <c r="C31" s="2" t="s">
        <v>16</v>
      </c>
      <c r="D31" s="3">
        <v>73.53</v>
      </c>
      <c r="E31" s="3">
        <v>76.650000000000006</v>
      </c>
      <c r="F31" s="3">
        <v>61.86</v>
      </c>
      <c r="G31" s="3">
        <v>63.85</v>
      </c>
      <c r="H31" s="3">
        <v>52.14</v>
      </c>
      <c r="I31" s="3">
        <v>71.38</v>
      </c>
      <c r="J31" s="3">
        <v>74.78</v>
      </c>
      <c r="K31" s="3">
        <v>58.62</v>
      </c>
      <c r="L31" s="3">
        <v>60.77</v>
      </c>
      <c r="M31" s="3">
        <v>48.17</v>
      </c>
      <c r="N31" s="3">
        <v>2.15</v>
      </c>
      <c r="O31" s="3">
        <v>1.87</v>
      </c>
      <c r="P31" s="3">
        <v>3.23</v>
      </c>
      <c r="Q31" s="3">
        <v>3.08</v>
      </c>
      <c r="R31" s="3">
        <v>3.97</v>
      </c>
      <c r="S31" s="3"/>
    </row>
    <row r="32" spans="2:19" s="5" customFormat="1" ht="8.25" customHeight="1" x14ac:dyDescent="0.25">
      <c r="B32" s="2">
        <v>2018</v>
      </c>
      <c r="C32" s="2" t="s">
        <v>7</v>
      </c>
      <c r="D32" s="3">
        <v>77.91</v>
      </c>
      <c r="E32" s="3">
        <v>80.2</v>
      </c>
      <c r="F32" s="3">
        <v>69.680000000000007</v>
      </c>
      <c r="G32" s="3">
        <v>72.510000000000005</v>
      </c>
      <c r="H32" s="3">
        <v>56.62</v>
      </c>
      <c r="I32" s="3">
        <v>75.290000000000006</v>
      </c>
      <c r="J32" s="3">
        <v>78.03</v>
      </c>
      <c r="K32" s="3">
        <v>65.48</v>
      </c>
      <c r="L32" s="3">
        <v>68.290000000000006</v>
      </c>
      <c r="M32" s="3">
        <v>52.53</v>
      </c>
      <c r="N32" s="3">
        <v>2.62</v>
      </c>
      <c r="O32" s="3">
        <v>2.1800000000000002</v>
      </c>
      <c r="P32" s="3">
        <v>4.2</v>
      </c>
      <c r="Q32" s="3">
        <v>4.22</v>
      </c>
      <c r="R32" s="3">
        <v>4.0999999999999996</v>
      </c>
      <c r="S32" s="3"/>
    </row>
    <row r="33" spans="2:19" s="5" customFormat="1" ht="8.25" customHeight="1" x14ac:dyDescent="0.25">
      <c r="B33" s="2">
        <v>2017</v>
      </c>
      <c r="C33" s="2" t="s">
        <v>15</v>
      </c>
      <c r="D33" s="3">
        <v>81.61</v>
      </c>
      <c r="E33" s="3">
        <v>83.41</v>
      </c>
      <c r="F33" s="3">
        <v>75.95</v>
      </c>
      <c r="G33" s="3">
        <v>78.459999999999994</v>
      </c>
      <c r="H33" s="3">
        <v>60.8</v>
      </c>
      <c r="I33" s="3">
        <v>78.13</v>
      </c>
      <c r="J33" s="3">
        <v>80.69</v>
      </c>
      <c r="K33" s="3">
        <v>70.09</v>
      </c>
      <c r="L33" s="3">
        <v>72.44</v>
      </c>
      <c r="M33" s="3">
        <v>54.88</v>
      </c>
      <c r="N33" s="3">
        <v>3.48</v>
      </c>
      <c r="O33" s="3">
        <v>2.72</v>
      </c>
      <c r="P33" s="3">
        <v>5.85</v>
      </c>
      <c r="Q33" s="3">
        <v>6.02</v>
      </c>
      <c r="R33" s="3">
        <v>5.92</v>
      </c>
      <c r="S33" s="3"/>
    </row>
    <row r="34" spans="2:19" s="5" customFormat="1" ht="8.25" customHeight="1" x14ac:dyDescent="0.25">
      <c r="B34" s="2">
        <v>2017</v>
      </c>
      <c r="C34" s="2" t="s">
        <v>16</v>
      </c>
      <c r="D34" s="3">
        <v>72.73</v>
      </c>
      <c r="E34" s="3">
        <v>75.900000000000006</v>
      </c>
      <c r="F34" s="3">
        <v>61.84</v>
      </c>
      <c r="G34" s="3">
        <v>62.82</v>
      </c>
      <c r="H34" s="3">
        <v>50.81</v>
      </c>
      <c r="I34" s="3">
        <v>70.3</v>
      </c>
      <c r="J34" s="3">
        <v>73.900000000000006</v>
      </c>
      <c r="K34" s="3">
        <v>57.93</v>
      </c>
      <c r="L34" s="3">
        <v>58.84</v>
      </c>
      <c r="M34" s="3">
        <v>46.49</v>
      </c>
      <c r="N34" s="3">
        <v>2.4300000000000002</v>
      </c>
      <c r="O34" s="3">
        <v>2</v>
      </c>
      <c r="P34" s="3">
        <v>3.91</v>
      </c>
      <c r="Q34" s="3">
        <v>3.98</v>
      </c>
      <c r="R34" s="3">
        <v>4.32</v>
      </c>
      <c r="S34" s="3"/>
    </row>
    <row r="35" spans="2:19" s="5" customFormat="1" ht="8.25" customHeight="1" x14ac:dyDescent="0.25">
      <c r="B35" s="2">
        <v>2017</v>
      </c>
      <c r="C35" s="2" t="s">
        <v>7</v>
      </c>
      <c r="D35" s="3">
        <v>77.260000000000005</v>
      </c>
      <c r="E35" s="3">
        <v>79.69</v>
      </c>
      <c r="F35" s="3">
        <v>69.27</v>
      </c>
      <c r="G35" s="3">
        <v>71.040000000000006</v>
      </c>
      <c r="H35" s="3">
        <v>56.25</v>
      </c>
      <c r="I35" s="3">
        <v>74.290000000000006</v>
      </c>
      <c r="J35" s="3">
        <v>77.33</v>
      </c>
      <c r="K35" s="3">
        <v>64.34</v>
      </c>
      <c r="L35" s="3">
        <v>65.989999999999995</v>
      </c>
      <c r="M35" s="3">
        <v>51.05</v>
      </c>
      <c r="N35" s="3">
        <v>2.96</v>
      </c>
      <c r="O35" s="3">
        <v>2.36</v>
      </c>
      <c r="P35" s="3">
        <v>4.93</v>
      </c>
      <c r="Q35" s="3">
        <v>5.05</v>
      </c>
      <c r="R35" s="3">
        <v>5.19</v>
      </c>
      <c r="S35" s="3"/>
    </row>
    <row r="36" spans="2:19" s="5" customFormat="1" ht="8.25" customHeight="1" x14ac:dyDescent="0.25">
      <c r="B36" s="2">
        <v>2016</v>
      </c>
      <c r="C36" s="2" t="s">
        <v>15</v>
      </c>
      <c r="D36" s="3">
        <v>81.13</v>
      </c>
      <c r="E36" s="3">
        <v>82.69</v>
      </c>
      <c r="F36" s="3">
        <v>75.3</v>
      </c>
      <c r="G36" s="3">
        <v>78.64</v>
      </c>
      <c r="H36" s="3">
        <v>59.98</v>
      </c>
      <c r="I36" s="3">
        <v>77.319999999999993</v>
      </c>
      <c r="J36" s="3">
        <v>79.59</v>
      </c>
      <c r="K36" s="3">
        <v>68.83</v>
      </c>
      <c r="L36" s="3">
        <v>72.349999999999994</v>
      </c>
      <c r="M36" s="3">
        <v>52.69</v>
      </c>
      <c r="N36" s="3">
        <v>3.81</v>
      </c>
      <c r="O36" s="3">
        <v>3.1</v>
      </c>
      <c r="P36" s="3">
        <v>6.47</v>
      </c>
      <c r="Q36" s="3">
        <v>6.29</v>
      </c>
      <c r="R36" s="3">
        <v>7.29</v>
      </c>
      <c r="S36" s="3"/>
    </row>
    <row r="37" spans="2:19" s="5" customFormat="1" ht="8.25" customHeight="1" x14ac:dyDescent="0.25">
      <c r="B37" s="2">
        <v>2016</v>
      </c>
      <c r="C37" s="2" t="s">
        <v>16</v>
      </c>
      <c r="D37" s="3">
        <v>71.459999999999994</v>
      </c>
      <c r="E37" s="3">
        <v>74.22</v>
      </c>
      <c r="F37" s="3">
        <v>60.19</v>
      </c>
      <c r="G37" s="3">
        <v>62.56</v>
      </c>
      <c r="H37" s="3">
        <v>47.99</v>
      </c>
      <c r="I37" s="3">
        <v>69</v>
      </c>
      <c r="J37" s="3">
        <v>72.010000000000005</v>
      </c>
      <c r="K37" s="3">
        <v>56.69</v>
      </c>
      <c r="L37" s="3">
        <v>59.06</v>
      </c>
      <c r="M37" s="3">
        <v>44.46</v>
      </c>
      <c r="N37" s="3">
        <v>2.46</v>
      </c>
      <c r="O37" s="3">
        <v>2.2000000000000002</v>
      </c>
      <c r="P37" s="3">
        <v>3.5</v>
      </c>
      <c r="Q37" s="3">
        <v>3.5</v>
      </c>
      <c r="R37" s="3">
        <v>3.53</v>
      </c>
      <c r="S37" s="3"/>
    </row>
    <row r="38" spans="2:19" s="5" customFormat="1" ht="8.25" customHeight="1" x14ac:dyDescent="0.25">
      <c r="B38" s="2">
        <v>2016</v>
      </c>
      <c r="C38" s="2" t="s">
        <v>7</v>
      </c>
      <c r="D38" s="3">
        <v>76.38</v>
      </c>
      <c r="E38" s="3">
        <v>78.489999999999995</v>
      </c>
      <c r="F38" s="3">
        <v>68.150000000000006</v>
      </c>
      <c r="G38" s="3">
        <v>70.95</v>
      </c>
      <c r="H38" s="3">
        <v>54.58</v>
      </c>
      <c r="I38" s="3">
        <v>73.23</v>
      </c>
      <c r="J38" s="3">
        <v>75.83</v>
      </c>
      <c r="K38" s="3">
        <v>63.08</v>
      </c>
      <c r="L38" s="3">
        <v>65.989999999999995</v>
      </c>
      <c r="M38" s="3">
        <v>48.99</v>
      </c>
      <c r="N38" s="3">
        <v>3.15</v>
      </c>
      <c r="O38" s="3">
        <v>2.65</v>
      </c>
      <c r="P38" s="3">
        <v>5.07</v>
      </c>
      <c r="Q38" s="3">
        <v>4.96</v>
      </c>
      <c r="R38" s="3">
        <v>5.6</v>
      </c>
      <c r="S38" s="3"/>
    </row>
    <row r="39" spans="2:19" s="5" customFormat="1" ht="8.25" customHeight="1" x14ac:dyDescent="0.25">
      <c r="B39" s="2">
        <v>2015</v>
      </c>
      <c r="C39" s="2" t="s">
        <v>15</v>
      </c>
      <c r="D39" s="3">
        <v>81.400000000000006</v>
      </c>
      <c r="E39" s="3">
        <v>82.38</v>
      </c>
      <c r="F39" s="3">
        <v>77.13</v>
      </c>
      <c r="G39" s="3">
        <v>81.93</v>
      </c>
      <c r="H39" s="3">
        <v>55.23</v>
      </c>
      <c r="I39" s="3">
        <v>77.599999999999994</v>
      </c>
      <c r="J39" s="3">
        <v>79.03</v>
      </c>
      <c r="K39" s="3">
        <v>71.38</v>
      </c>
      <c r="L39" s="3">
        <v>76.2</v>
      </c>
      <c r="M39" s="3">
        <v>49.39</v>
      </c>
      <c r="N39" s="3">
        <v>3.8</v>
      </c>
      <c r="O39" s="3">
        <v>3.36</v>
      </c>
      <c r="P39" s="3">
        <v>5.75</v>
      </c>
      <c r="Q39" s="3">
        <v>5.73</v>
      </c>
      <c r="R39" s="3">
        <v>5.84</v>
      </c>
      <c r="S39" s="3"/>
    </row>
    <row r="40" spans="2:19" s="5" customFormat="1" ht="8.25" customHeight="1" x14ac:dyDescent="0.25">
      <c r="B40" s="2">
        <v>2015</v>
      </c>
      <c r="C40" s="2" t="s">
        <v>16</v>
      </c>
      <c r="D40" s="3">
        <v>71.95</v>
      </c>
      <c r="E40" s="3">
        <v>74.430000000000007</v>
      </c>
      <c r="F40" s="3">
        <v>61.02</v>
      </c>
      <c r="G40" s="3">
        <v>64.28</v>
      </c>
      <c r="H40" s="3">
        <v>43.78</v>
      </c>
      <c r="I40" s="3">
        <v>69.099999999999994</v>
      </c>
      <c r="J40" s="3">
        <v>71.930000000000007</v>
      </c>
      <c r="K40" s="3">
        <v>56.65</v>
      </c>
      <c r="L40" s="3">
        <v>59.66</v>
      </c>
      <c r="M40" s="3">
        <v>40.72</v>
      </c>
      <c r="N40" s="3">
        <v>2.85</v>
      </c>
      <c r="O40" s="3">
        <v>2.5</v>
      </c>
      <c r="P40" s="3">
        <v>4.37</v>
      </c>
      <c r="Q40" s="3">
        <v>4.62</v>
      </c>
      <c r="R40" s="3">
        <v>3.06</v>
      </c>
      <c r="S40" s="3"/>
    </row>
    <row r="41" spans="2:19" s="5" customFormat="1" ht="8.25" customHeight="1" x14ac:dyDescent="0.25">
      <c r="B41" s="2">
        <v>2015</v>
      </c>
      <c r="C41" s="2" t="s">
        <v>7</v>
      </c>
      <c r="D41" s="3">
        <v>76.709999999999994</v>
      </c>
      <c r="E41" s="3">
        <v>78.430000000000007</v>
      </c>
      <c r="F41" s="3">
        <v>69.17</v>
      </c>
      <c r="G41" s="3">
        <v>73.09</v>
      </c>
      <c r="H41" s="3">
        <v>49.92</v>
      </c>
      <c r="I41" s="3">
        <v>73.38</v>
      </c>
      <c r="J41" s="3">
        <v>75.5</v>
      </c>
      <c r="K41" s="3">
        <v>64.099999999999994</v>
      </c>
      <c r="L41" s="3">
        <v>67.92</v>
      </c>
      <c r="M41" s="3">
        <v>45.37</v>
      </c>
      <c r="N41" s="3">
        <v>3.33</v>
      </c>
      <c r="O41" s="3">
        <v>2.93</v>
      </c>
      <c r="P41" s="3">
        <v>5.07</v>
      </c>
      <c r="Q41" s="3">
        <v>5.17</v>
      </c>
      <c r="R41" s="3">
        <v>4.55</v>
      </c>
      <c r="S41" s="3"/>
    </row>
    <row r="42" spans="2:19" s="5" customFormat="1" ht="8.25" customHeight="1" x14ac:dyDescent="0.25">
      <c r="B42" s="2">
        <v>2014</v>
      </c>
      <c r="C42" s="2" t="s">
        <v>15</v>
      </c>
      <c r="D42" s="3">
        <v>82.1</v>
      </c>
      <c r="E42" s="3">
        <v>83.01</v>
      </c>
      <c r="F42" s="3">
        <v>78</v>
      </c>
      <c r="G42" s="3">
        <v>83.32</v>
      </c>
      <c r="H42" s="3">
        <v>54.37</v>
      </c>
      <c r="I42" s="3">
        <v>77.849999999999994</v>
      </c>
      <c r="J42" s="3">
        <v>79.19</v>
      </c>
      <c r="K42" s="3">
        <v>71.77</v>
      </c>
      <c r="L42" s="3">
        <v>76.75</v>
      </c>
      <c r="M42" s="3">
        <v>49.65</v>
      </c>
      <c r="N42" s="3">
        <v>4.26</v>
      </c>
      <c r="O42" s="3">
        <v>3.82</v>
      </c>
      <c r="P42" s="3">
        <v>6.23</v>
      </c>
      <c r="Q42" s="3">
        <v>6.57</v>
      </c>
      <c r="R42" s="3">
        <v>4.72</v>
      </c>
      <c r="S42" s="3"/>
    </row>
    <row r="43" spans="2:19" s="5" customFormat="1" ht="8.25" customHeight="1" x14ac:dyDescent="0.25">
      <c r="B43" s="2">
        <v>2014</v>
      </c>
      <c r="C43" s="2" t="s">
        <v>16</v>
      </c>
      <c r="D43" s="3">
        <v>71.739999999999995</v>
      </c>
      <c r="E43" s="3">
        <v>74</v>
      </c>
      <c r="F43" s="3">
        <v>61.62</v>
      </c>
      <c r="G43" s="3">
        <v>65.09</v>
      </c>
      <c r="H43" s="3">
        <v>44.17</v>
      </c>
      <c r="I43" s="3">
        <v>68.73</v>
      </c>
      <c r="J43" s="3">
        <v>71.31</v>
      </c>
      <c r="K43" s="3">
        <v>57.17</v>
      </c>
      <c r="L43" s="3">
        <v>60.58</v>
      </c>
      <c r="M43" s="3">
        <v>40.03</v>
      </c>
      <c r="N43" s="3">
        <v>3.01</v>
      </c>
      <c r="O43" s="3">
        <v>2.69</v>
      </c>
      <c r="P43" s="3">
        <v>4.45</v>
      </c>
      <c r="Q43" s="3">
        <v>4.5199999999999996</v>
      </c>
      <c r="R43" s="3">
        <v>4.1399999999999997</v>
      </c>
      <c r="S43" s="3"/>
    </row>
    <row r="44" spans="2:19" s="5" customFormat="1" ht="8.25" customHeight="1" x14ac:dyDescent="0.25">
      <c r="B44" s="2">
        <v>2014</v>
      </c>
      <c r="C44" s="2" t="s">
        <v>7</v>
      </c>
      <c r="D44" s="3">
        <v>76.959999999999994</v>
      </c>
      <c r="E44" s="3">
        <v>78.53</v>
      </c>
      <c r="F44" s="3">
        <v>69.819999999999993</v>
      </c>
      <c r="G44" s="3">
        <v>74.12</v>
      </c>
      <c r="H44" s="3">
        <v>49.54</v>
      </c>
      <c r="I44" s="3">
        <v>73.319999999999993</v>
      </c>
      <c r="J44" s="3">
        <v>75.28</v>
      </c>
      <c r="K44" s="3">
        <v>64.48</v>
      </c>
      <c r="L44" s="3">
        <v>68.59</v>
      </c>
      <c r="M44" s="3">
        <v>45.1</v>
      </c>
      <c r="N44" s="3">
        <v>3.64</v>
      </c>
      <c r="O44" s="3">
        <v>3.26</v>
      </c>
      <c r="P44" s="3">
        <v>5.34</v>
      </c>
      <c r="Q44" s="3">
        <v>5.53</v>
      </c>
      <c r="R44" s="3">
        <v>4.4400000000000004</v>
      </c>
      <c r="S44" s="3"/>
    </row>
    <row r="45" spans="2:19" s="5" customFormat="1" ht="8.25" customHeight="1" x14ac:dyDescent="0.25">
      <c r="B45" s="2">
        <v>2013</v>
      </c>
      <c r="C45" s="2" t="s">
        <v>15</v>
      </c>
      <c r="D45" s="3">
        <v>82.15</v>
      </c>
      <c r="E45" s="3">
        <v>83.06</v>
      </c>
      <c r="F45" s="3">
        <v>78.290000000000006</v>
      </c>
      <c r="G45" s="3">
        <v>83.11</v>
      </c>
      <c r="H45" s="3">
        <v>54.64</v>
      </c>
      <c r="I45" s="3">
        <v>77.78</v>
      </c>
      <c r="J45" s="3">
        <v>79.260000000000005</v>
      </c>
      <c r="K45" s="3">
        <v>71.510000000000005</v>
      </c>
      <c r="L45" s="3">
        <v>76.19</v>
      </c>
      <c r="M45" s="3">
        <v>48.27</v>
      </c>
      <c r="N45" s="3">
        <v>4.37</v>
      </c>
      <c r="O45" s="3">
        <v>3.8</v>
      </c>
      <c r="P45" s="3">
        <v>6.78</v>
      </c>
      <c r="Q45" s="3">
        <v>6.92</v>
      </c>
      <c r="R45" s="3">
        <v>6.37</v>
      </c>
      <c r="S45" s="3"/>
    </row>
    <row r="46" spans="2:19" s="5" customFormat="1" ht="8.25" customHeight="1" x14ac:dyDescent="0.25">
      <c r="B46" s="2">
        <v>2013</v>
      </c>
      <c r="C46" s="2" t="s">
        <v>16</v>
      </c>
      <c r="D46" s="3">
        <v>71.680000000000007</v>
      </c>
      <c r="E46" s="3">
        <v>73.739999999999995</v>
      </c>
      <c r="F46" s="3">
        <v>62.97</v>
      </c>
      <c r="G46" s="3">
        <v>65.900000000000006</v>
      </c>
      <c r="H46" s="3">
        <v>43.21</v>
      </c>
      <c r="I46" s="3">
        <v>68.430000000000007</v>
      </c>
      <c r="J46" s="3">
        <v>70.650000000000006</v>
      </c>
      <c r="K46" s="3">
        <v>59.01</v>
      </c>
      <c r="L46" s="3">
        <v>61.98</v>
      </c>
      <c r="M46" s="3">
        <v>39.56</v>
      </c>
      <c r="N46" s="3">
        <v>3.25</v>
      </c>
      <c r="O46" s="3">
        <v>3.08</v>
      </c>
      <c r="P46" s="3">
        <v>3.97</v>
      </c>
      <c r="Q46" s="3">
        <v>3.92</v>
      </c>
      <c r="R46" s="3">
        <v>3.65</v>
      </c>
      <c r="S46" s="3"/>
    </row>
    <row r="47" spans="2:19" s="5" customFormat="1" ht="8.25" customHeight="1" x14ac:dyDescent="0.25">
      <c r="B47" s="2">
        <v>2013</v>
      </c>
      <c r="C47" s="2" t="s">
        <v>7</v>
      </c>
      <c r="D47" s="3">
        <v>76.930000000000007</v>
      </c>
      <c r="E47" s="3">
        <v>78.42</v>
      </c>
      <c r="F47" s="3">
        <v>70.66</v>
      </c>
      <c r="G47" s="3">
        <v>74.45</v>
      </c>
      <c r="H47" s="3">
        <v>49.25</v>
      </c>
      <c r="I47" s="3">
        <v>73.12</v>
      </c>
      <c r="J47" s="3">
        <v>74.97</v>
      </c>
      <c r="K47" s="3">
        <v>65.290000000000006</v>
      </c>
      <c r="L47" s="3">
        <v>69.040000000000006</v>
      </c>
      <c r="M47" s="3">
        <v>44.17</v>
      </c>
      <c r="N47" s="3">
        <v>3.81</v>
      </c>
      <c r="O47" s="3">
        <v>3.44</v>
      </c>
      <c r="P47" s="3">
        <v>5.38</v>
      </c>
      <c r="Q47" s="3">
        <v>5.41</v>
      </c>
      <c r="R47" s="3">
        <v>5.09</v>
      </c>
      <c r="S47" s="3"/>
    </row>
    <row r="48" spans="2:19" s="5" customFormat="1" ht="8.25" customHeight="1" x14ac:dyDescent="0.25">
      <c r="B48" s="2">
        <v>2012</v>
      </c>
      <c r="C48" s="2" t="s">
        <v>15</v>
      </c>
      <c r="D48" s="3">
        <v>81.540000000000006</v>
      </c>
      <c r="E48" s="3">
        <v>82.19</v>
      </c>
      <c r="F48" s="3">
        <v>78.41</v>
      </c>
      <c r="G48" s="3">
        <v>83.76</v>
      </c>
      <c r="H48" s="3">
        <v>54.19</v>
      </c>
      <c r="I48" s="3">
        <v>77.28</v>
      </c>
      <c r="J48" s="3">
        <v>78.59</v>
      </c>
      <c r="K48" s="3">
        <v>70.98</v>
      </c>
      <c r="L48" s="3">
        <v>76.27</v>
      </c>
      <c r="M48" s="3">
        <v>47.02</v>
      </c>
      <c r="N48" s="3">
        <v>4.26</v>
      </c>
      <c r="O48" s="3">
        <v>3.6</v>
      </c>
      <c r="P48" s="3">
        <v>7.43</v>
      </c>
      <c r="Q48" s="3">
        <v>7.49</v>
      </c>
      <c r="R48" s="3">
        <v>7.17</v>
      </c>
      <c r="S48" s="3"/>
    </row>
    <row r="49" spans="2:19" s="5" customFormat="1" ht="8.25" customHeight="1" x14ac:dyDescent="0.25">
      <c r="B49" s="2">
        <v>2012</v>
      </c>
      <c r="C49" s="2" t="s">
        <v>16</v>
      </c>
      <c r="D49" s="3">
        <v>70.56</v>
      </c>
      <c r="E49" s="3">
        <v>72.459999999999994</v>
      </c>
      <c r="F49" s="3">
        <v>61.59</v>
      </c>
      <c r="G49" s="3">
        <v>64.569999999999993</v>
      </c>
      <c r="H49" s="3">
        <v>44.81</v>
      </c>
      <c r="I49" s="3">
        <v>67.3</v>
      </c>
      <c r="J49" s="3">
        <v>69.52</v>
      </c>
      <c r="K49" s="3">
        <v>56.8</v>
      </c>
      <c r="L49" s="3">
        <v>59.9</v>
      </c>
      <c r="M49" s="3">
        <v>39.369999999999997</v>
      </c>
      <c r="N49" s="3">
        <v>3.26</v>
      </c>
      <c r="O49" s="3">
        <v>2.94</v>
      </c>
      <c r="P49" s="3">
        <v>4.79</v>
      </c>
      <c r="Q49" s="3">
        <v>4.67</v>
      </c>
      <c r="R49" s="3">
        <v>5.44</v>
      </c>
      <c r="S49" s="3"/>
    </row>
    <row r="50" spans="2:19" s="5" customFormat="1" ht="8.25" customHeight="1" x14ac:dyDescent="0.25">
      <c r="B50" s="2">
        <v>2012</v>
      </c>
      <c r="C50" s="2" t="s">
        <v>7</v>
      </c>
      <c r="D50" s="3">
        <v>76.09</v>
      </c>
      <c r="E50" s="3">
        <v>77.37</v>
      </c>
      <c r="F50" s="3">
        <v>70</v>
      </c>
      <c r="G50" s="3">
        <v>73.989999999999995</v>
      </c>
      <c r="H50" s="3">
        <v>49.93</v>
      </c>
      <c r="I50" s="3">
        <v>72.319999999999993</v>
      </c>
      <c r="J50" s="3">
        <v>74.099999999999994</v>
      </c>
      <c r="K50" s="3">
        <v>63.89</v>
      </c>
      <c r="L50" s="3">
        <v>67.94</v>
      </c>
      <c r="M50" s="3">
        <v>43.54</v>
      </c>
      <c r="N50" s="3">
        <v>3.76</v>
      </c>
      <c r="O50" s="3">
        <v>3.27</v>
      </c>
      <c r="P50" s="3">
        <v>6.11</v>
      </c>
      <c r="Q50" s="3">
        <v>6.06</v>
      </c>
      <c r="R50" s="3">
        <v>6.38</v>
      </c>
      <c r="S50" s="3"/>
    </row>
    <row r="51" spans="2:19" s="5" customFormat="1" ht="8.25" customHeight="1" x14ac:dyDescent="0.25">
      <c r="B51" s="2">
        <v>2011</v>
      </c>
      <c r="C51" s="2" t="s">
        <v>15</v>
      </c>
      <c r="D51" s="3">
        <v>81.680000000000007</v>
      </c>
      <c r="E51" s="3">
        <v>82.3</v>
      </c>
      <c r="F51" s="3">
        <v>78.599999999999994</v>
      </c>
      <c r="G51" s="3">
        <v>84.19</v>
      </c>
      <c r="H51" s="3">
        <v>54.02</v>
      </c>
      <c r="I51" s="3">
        <v>77.150000000000006</v>
      </c>
      <c r="J51" s="3">
        <v>78.44</v>
      </c>
      <c r="K51" s="3">
        <v>70.8</v>
      </c>
      <c r="L51" s="3">
        <v>75.84</v>
      </c>
      <c r="M51" s="3">
        <v>48.64</v>
      </c>
      <c r="N51" s="3">
        <v>4.53</v>
      </c>
      <c r="O51" s="3">
        <v>3.87</v>
      </c>
      <c r="P51" s="3">
        <v>7.8</v>
      </c>
      <c r="Q51" s="3">
        <v>8.35</v>
      </c>
      <c r="R51" s="3">
        <v>5.38</v>
      </c>
      <c r="S51" s="3"/>
    </row>
    <row r="52" spans="2:19" s="5" customFormat="1" ht="8.25" customHeight="1" x14ac:dyDescent="0.25">
      <c r="B52" s="2">
        <v>2011</v>
      </c>
      <c r="C52" s="2" t="s">
        <v>16</v>
      </c>
      <c r="D52" s="3">
        <v>70.569999999999993</v>
      </c>
      <c r="E52" s="3">
        <v>72.459999999999994</v>
      </c>
      <c r="F52" s="3">
        <v>61.52</v>
      </c>
      <c r="G52" s="3">
        <v>64</v>
      </c>
      <c r="H52" s="3">
        <v>47.35</v>
      </c>
      <c r="I52" s="3">
        <v>66.63</v>
      </c>
      <c r="J52" s="3">
        <v>68.819999999999993</v>
      </c>
      <c r="K52" s="3">
        <v>56.2</v>
      </c>
      <c r="L52" s="3">
        <v>58.27</v>
      </c>
      <c r="M52" s="3">
        <v>44.41</v>
      </c>
      <c r="N52" s="3">
        <v>3.93</v>
      </c>
      <c r="O52" s="3">
        <v>3.65</v>
      </c>
      <c r="P52" s="3">
        <v>5.32</v>
      </c>
      <c r="Q52" s="3">
        <v>5.73</v>
      </c>
      <c r="R52" s="3">
        <v>2.94</v>
      </c>
      <c r="S52" s="3"/>
    </row>
    <row r="53" spans="2:19" s="5" customFormat="1" ht="8.25" customHeight="1" x14ac:dyDescent="0.25">
      <c r="B53" s="2">
        <v>2011</v>
      </c>
      <c r="C53" s="2" t="s">
        <v>7</v>
      </c>
      <c r="D53" s="3">
        <v>76.150000000000006</v>
      </c>
      <c r="E53" s="3">
        <v>77.42</v>
      </c>
      <c r="F53" s="3">
        <v>69.98</v>
      </c>
      <c r="G53" s="3">
        <v>73.77</v>
      </c>
      <c r="H53" s="3">
        <v>51.02</v>
      </c>
      <c r="I53" s="3">
        <v>71.92</v>
      </c>
      <c r="J53" s="3">
        <v>73.66</v>
      </c>
      <c r="K53" s="3">
        <v>63.43</v>
      </c>
      <c r="L53" s="3">
        <v>66.77</v>
      </c>
      <c r="M53" s="3">
        <v>46.74</v>
      </c>
      <c r="N53" s="3">
        <v>4.2300000000000004</v>
      </c>
      <c r="O53" s="3">
        <v>3.76</v>
      </c>
      <c r="P53" s="3">
        <v>6.55</v>
      </c>
      <c r="Q53" s="3">
        <v>7</v>
      </c>
      <c r="R53" s="3">
        <v>4.28</v>
      </c>
      <c r="S53" s="3"/>
    </row>
    <row r="54" spans="2:19" s="5" customFormat="1" ht="8.25" customHeight="1" x14ac:dyDescent="0.25">
      <c r="B54" s="2">
        <v>2005</v>
      </c>
      <c r="C54" s="2" t="s">
        <v>15</v>
      </c>
      <c r="D54" s="3">
        <v>79.62</v>
      </c>
      <c r="E54" s="3">
        <v>80.349999999999994</v>
      </c>
      <c r="F54" s="3">
        <v>75.94</v>
      </c>
      <c r="G54" s="3">
        <v>78.64</v>
      </c>
      <c r="H54" s="3">
        <v>60.46</v>
      </c>
      <c r="I54" s="3">
        <v>70.92</v>
      </c>
      <c r="J54" s="3">
        <v>72.95</v>
      </c>
      <c r="K54" s="3">
        <v>60.69</v>
      </c>
      <c r="L54" s="3">
        <v>63.07</v>
      </c>
      <c r="M54" s="3">
        <v>47.04</v>
      </c>
      <c r="N54" s="3">
        <v>8.69</v>
      </c>
      <c r="O54" s="3">
        <v>7.39</v>
      </c>
      <c r="P54" s="3">
        <v>15.25</v>
      </c>
      <c r="Q54" s="3">
        <v>15.57</v>
      </c>
      <c r="R54" s="3">
        <v>13.42</v>
      </c>
      <c r="S54" s="3"/>
    </row>
    <row r="55" spans="2:19" s="5" customFormat="1" ht="8.25" customHeight="1" x14ac:dyDescent="0.25">
      <c r="B55" s="2">
        <v>2005</v>
      </c>
      <c r="C55" s="2" t="s">
        <v>16</v>
      </c>
      <c r="D55" s="3">
        <v>64.12</v>
      </c>
      <c r="E55" s="3">
        <v>65.97</v>
      </c>
      <c r="F55" s="3">
        <v>54.55</v>
      </c>
      <c r="G55" s="3">
        <v>55.86</v>
      </c>
      <c r="H55" s="3">
        <v>44.98</v>
      </c>
      <c r="I55" s="3">
        <v>57.68</v>
      </c>
      <c r="J55" s="3">
        <v>60.09</v>
      </c>
      <c r="K55" s="3">
        <v>45.23</v>
      </c>
      <c r="L55" s="3">
        <v>46.05</v>
      </c>
      <c r="M55" s="3">
        <v>39.26</v>
      </c>
      <c r="N55" s="3">
        <v>6.44</v>
      </c>
      <c r="O55" s="3">
        <v>5.89</v>
      </c>
      <c r="P55" s="3">
        <v>9.32</v>
      </c>
      <c r="Q55" s="3">
        <v>9.81</v>
      </c>
      <c r="R55" s="3">
        <v>5.71</v>
      </c>
      <c r="S55" s="3"/>
    </row>
    <row r="56" spans="2:19" s="5" customFormat="1" ht="8.25" customHeight="1" x14ac:dyDescent="0.25">
      <c r="B56" s="2">
        <v>2005</v>
      </c>
      <c r="C56" s="2" t="s">
        <v>7</v>
      </c>
      <c r="D56" s="3">
        <v>71.94</v>
      </c>
      <c r="E56" s="3">
        <v>73.209999999999994</v>
      </c>
      <c r="F56" s="3">
        <v>65.45</v>
      </c>
      <c r="G56" s="3">
        <v>67.290000000000006</v>
      </c>
      <c r="H56" s="3">
        <v>53.67</v>
      </c>
      <c r="I56" s="3">
        <v>64.36</v>
      </c>
      <c r="J56" s="3">
        <v>66.56</v>
      </c>
      <c r="K56" s="3">
        <v>53.11</v>
      </c>
      <c r="L56" s="3">
        <v>54.59</v>
      </c>
      <c r="M56" s="3">
        <v>43.63</v>
      </c>
      <c r="N56" s="3">
        <v>7.58</v>
      </c>
      <c r="O56" s="3">
        <v>6.65</v>
      </c>
      <c r="P56" s="3">
        <v>12.34</v>
      </c>
      <c r="Q56" s="3">
        <v>12.7</v>
      </c>
      <c r="R56" s="3">
        <v>10.039999999999999</v>
      </c>
      <c r="S56" s="3"/>
    </row>
    <row r="57" spans="2:19" s="5" customFormat="1" ht="8.25" customHeight="1" x14ac:dyDescent="0.15">
      <c r="B57" s="2"/>
      <c r="C57" s="27"/>
      <c r="D57" s="27"/>
      <c r="E57" s="27"/>
      <c r="F57" s="27"/>
      <c r="G57" s="27"/>
      <c r="H57" s="27"/>
      <c r="I57" s="27"/>
      <c r="J57" s="27"/>
      <c r="K57" s="27"/>
    </row>
    <row r="58" spans="2:19" s="5" customFormat="1" ht="8.25" customHeight="1" x14ac:dyDescent="0.15">
      <c r="B58" s="28"/>
      <c r="C58" s="29"/>
      <c r="D58" s="29"/>
      <c r="E58" s="29"/>
      <c r="F58" s="29"/>
      <c r="G58" s="29"/>
      <c r="H58" s="29"/>
      <c r="I58" s="29"/>
      <c r="J58" s="29"/>
      <c r="K58" s="29"/>
      <c r="N58" s="30"/>
    </row>
    <row r="59" spans="2:19" s="32" customFormat="1" ht="27.75" customHeight="1" x14ac:dyDescent="0.25">
      <c r="B59" s="31" t="s">
        <v>17</v>
      </c>
      <c r="C59" s="31"/>
      <c r="D59" s="31"/>
      <c r="E59" s="31"/>
      <c r="F59" s="31"/>
      <c r="G59" s="31"/>
      <c r="H59" s="31"/>
      <c r="I59" s="31"/>
      <c r="J59" s="31"/>
      <c r="K59" s="31"/>
    </row>
    <row r="60" spans="2:19" s="5" customFormat="1" ht="8.25" customHeight="1" x14ac:dyDescent="0.15">
      <c r="B60" s="29" t="s">
        <v>18</v>
      </c>
      <c r="C60" s="29"/>
      <c r="D60" s="29"/>
      <c r="E60" s="29"/>
      <c r="F60" s="29"/>
      <c r="G60" s="29"/>
      <c r="H60" s="29"/>
      <c r="I60" s="29"/>
      <c r="J60" s="29"/>
      <c r="K60" s="29"/>
      <c r="N60" s="30"/>
    </row>
    <row r="61" spans="2:19" ht="24.75" customHeight="1" x14ac:dyDescent="0.25">
      <c r="B61" s="33" t="s">
        <v>19</v>
      </c>
      <c r="C61" s="33"/>
      <c r="D61" s="33"/>
      <c r="E61" s="33"/>
      <c r="F61" s="33"/>
      <c r="G61" s="33"/>
      <c r="H61" s="33"/>
      <c r="I61" s="33"/>
      <c r="J61" s="33"/>
      <c r="K61" s="33"/>
    </row>
    <row r="62" spans="2:19" ht="24.75" customHeight="1" x14ac:dyDescent="0.25">
      <c r="B62" s="33" t="s">
        <v>20</v>
      </c>
      <c r="C62" s="33"/>
      <c r="D62" s="33"/>
      <c r="E62" s="33"/>
      <c r="F62" s="33"/>
      <c r="G62" s="33"/>
      <c r="H62" s="33"/>
      <c r="I62" s="33"/>
      <c r="J62" s="33"/>
      <c r="K62" s="33"/>
    </row>
    <row r="63" spans="2:19" ht="8.25" customHeight="1" x14ac:dyDescent="0.25">
      <c r="B63" s="34" t="s">
        <v>21</v>
      </c>
      <c r="C63" s="35"/>
      <c r="D63" s="35"/>
      <c r="E63" s="35"/>
      <c r="F63" s="35"/>
      <c r="G63" s="35"/>
      <c r="H63" s="35"/>
      <c r="I63" s="35"/>
      <c r="J63" s="35"/>
      <c r="K63" s="35"/>
    </row>
    <row r="64" spans="2:19" ht="8.25" customHeight="1" x14ac:dyDescent="0.25">
      <c r="B64" s="35"/>
      <c r="C64" s="35"/>
      <c r="D64" s="35"/>
      <c r="E64" s="35"/>
      <c r="F64" s="35"/>
      <c r="G64" s="35"/>
      <c r="H64" s="35"/>
      <c r="I64" s="35"/>
      <c r="J64" s="35"/>
      <c r="K64" s="35"/>
    </row>
    <row r="65" spans="2:11" s="32" customFormat="1" ht="8.25" customHeight="1" x14ac:dyDescent="0.25">
      <c r="B65" s="36" t="s">
        <v>22</v>
      </c>
      <c r="C65" s="37"/>
      <c r="D65" s="37"/>
      <c r="E65" s="37"/>
      <c r="F65" s="37"/>
      <c r="G65" s="37"/>
      <c r="H65" s="37"/>
      <c r="I65" s="37"/>
      <c r="J65" s="37"/>
      <c r="K65" s="37"/>
    </row>
    <row r="66" spans="2:11" ht="8.25" customHeight="1" x14ac:dyDescent="0.25"/>
    <row r="67" spans="2:11" s="32" customFormat="1" ht="8.25" customHeight="1" x14ac:dyDescent="0.25">
      <c r="B67" s="36" t="s">
        <v>23</v>
      </c>
      <c r="C67" s="37"/>
      <c r="D67" s="37"/>
      <c r="E67" s="37"/>
      <c r="F67" s="37"/>
      <c r="G67" s="37"/>
      <c r="H67" s="37"/>
      <c r="I67" s="37"/>
      <c r="J67" s="37"/>
      <c r="K67" s="37"/>
    </row>
    <row r="68" spans="2:11" s="32" customFormat="1" ht="8.25" customHeight="1" x14ac:dyDescent="0.25">
      <c r="B68" s="36" t="s">
        <v>27</v>
      </c>
      <c r="C68" s="37"/>
      <c r="D68" s="37"/>
      <c r="E68" s="37"/>
      <c r="F68" s="37"/>
      <c r="G68" s="37"/>
      <c r="H68" s="37"/>
      <c r="I68" s="37"/>
      <c r="J68" s="37"/>
      <c r="K68" s="37"/>
    </row>
    <row r="69" spans="2:11" s="32" customFormat="1" ht="8.25" customHeight="1" x14ac:dyDescent="0.25">
      <c r="B69" s="36" t="s">
        <v>24</v>
      </c>
      <c r="C69" s="37"/>
      <c r="D69" s="37"/>
      <c r="E69" s="37"/>
      <c r="F69" s="37"/>
      <c r="G69" s="37"/>
      <c r="H69" s="37"/>
      <c r="I69" s="37"/>
      <c r="J69" s="37"/>
      <c r="K69" s="37"/>
    </row>
    <row r="70" spans="2:11" s="32" customFormat="1" ht="8.25" customHeight="1" x14ac:dyDescent="0.25">
      <c r="B70" s="38" t="s">
        <v>25</v>
      </c>
      <c r="C70" s="37"/>
      <c r="D70" s="37"/>
      <c r="E70" s="37"/>
      <c r="F70" s="37"/>
      <c r="G70" s="37"/>
      <c r="H70" s="37"/>
      <c r="I70" s="37"/>
      <c r="J70" s="37"/>
      <c r="K70" s="37"/>
    </row>
  </sheetData>
  <mergeCells count="25">
    <mergeCell ref="N6:R6"/>
    <mergeCell ref="D7:D9"/>
    <mergeCell ref="E7:H7"/>
    <mergeCell ref="I7:I9"/>
    <mergeCell ref="J7:M7"/>
    <mergeCell ref="B3:J3"/>
    <mergeCell ref="B6:B10"/>
    <mergeCell ref="C6:C10"/>
    <mergeCell ref="D6:H6"/>
    <mergeCell ref="I6:M6"/>
    <mergeCell ref="Q8:R8"/>
    <mergeCell ref="D10:R10"/>
    <mergeCell ref="B59:K59"/>
    <mergeCell ref="B61:K61"/>
    <mergeCell ref="B62:K62"/>
    <mergeCell ref="N7:N9"/>
    <mergeCell ref="O7:R7"/>
    <mergeCell ref="E8:E9"/>
    <mergeCell ref="F8:F9"/>
    <mergeCell ref="G8:H8"/>
    <mergeCell ref="J8:J9"/>
    <mergeCell ref="K8:K9"/>
    <mergeCell ref="L8:M8"/>
    <mergeCell ref="O8:O9"/>
    <mergeCell ref="P8:P9"/>
  </mergeCells>
  <hyperlinks>
    <hyperlink ref="B70" r:id="rId1" xr:uid="{3ECA3C8E-D001-4E48-A48D-3E856F57D422}"/>
    <hyperlink ref="B63" r:id="rId2" xr:uid="{F46E98A5-C820-48A7-8055-0E550FAC5AAD}"/>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Biester, Christoph, Dr. (LSN)</dc:creator>
  <cp:lastModifiedBy>Schlesier, Alexander (LSN)</cp:lastModifiedBy>
  <dcterms:created xsi:type="dcterms:W3CDTF">2025-06-23T12:59:37Z</dcterms:created>
  <dcterms:modified xsi:type="dcterms:W3CDTF">2026-06-23T07:06:12Z</dcterms:modified>
</cp:coreProperties>
</file>