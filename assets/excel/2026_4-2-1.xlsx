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DieseArbeitsmappe" defaultThemeVersion="166925"/>
  <mc:AlternateContent xmlns:mc="http://schemas.openxmlformats.org/markup-compatibility/2006">
    <mc:Choice Requires="x15">
      <x15ac:absPath xmlns:x15ac="http://schemas.microsoft.com/office/spreadsheetml/2010/11/ac" url="S:\Hannover\Dez15_Uebergreifende_Analysen\Projekte\Integrationsmonitoring\Schlesier\MT_Site\assets\excel\"/>
    </mc:Choice>
  </mc:AlternateContent>
  <xr:revisionPtr revIDLastSave="0" documentId="13_ncr:1_{33A17ADF-4BB3-4A0F-A9FC-A1A68816EA3C}" xr6:coauthVersionLast="47" xr6:coauthVersionMax="47" xr10:uidLastSave="{00000000-0000-0000-0000-000000000000}"/>
  <bookViews>
    <workbookView xWindow="28680" yWindow="-120" windowWidth="29040" windowHeight="17520" xr2:uid="{F00CF707-31DB-41A0-9AE6-C8AE49075CB7}"/>
  </bookViews>
  <sheets>
    <sheet name="Tabelle1" sheetId="1" r:id="rId1"/>
  </sheets>
  <externalReferences>
    <externalReference r:id="rId2"/>
  </externalReferenc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7" i="1" l="1"/>
  <c r="K27" i="1"/>
  <c r="J27" i="1"/>
  <c r="I27" i="1"/>
  <c r="H27" i="1"/>
  <c r="G27" i="1"/>
  <c r="F27" i="1"/>
  <c r="E27" i="1"/>
  <c r="D27" i="1"/>
  <c r="L26" i="1"/>
  <c r="K26" i="1"/>
  <c r="J26" i="1"/>
  <c r="I26" i="1"/>
  <c r="H26" i="1"/>
  <c r="G26" i="1"/>
  <c r="F26" i="1"/>
  <c r="E26" i="1"/>
  <c r="D26" i="1"/>
  <c r="L25" i="1"/>
  <c r="K25" i="1"/>
  <c r="J25" i="1"/>
  <c r="I25" i="1"/>
  <c r="H25" i="1"/>
  <c r="G25" i="1"/>
  <c r="F25" i="1"/>
  <c r="E25" i="1"/>
  <c r="D25" i="1"/>
  <c r="L24" i="1"/>
  <c r="K24" i="1"/>
  <c r="J24" i="1"/>
  <c r="I24" i="1"/>
  <c r="H24" i="1"/>
  <c r="G24" i="1"/>
  <c r="F24" i="1"/>
  <c r="E24" i="1"/>
  <c r="D24" i="1"/>
  <c r="L23" i="1"/>
  <c r="K23" i="1"/>
  <c r="J23" i="1"/>
  <c r="I23" i="1"/>
  <c r="H23" i="1"/>
  <c r="G23" i="1"/>
  <c r="F23" i="1"/>
  <c r="E23" i="1"/>
  <c r="D23" i="1"/>
  <c r="L22" i="1"/>
  <c r="K22" i="1"/>
  <c r="J22" i="1"/>
  <c r="I22" i="1"/>
  <c r="H22" i="1"/>
  <c r="G22" i="1"/>
  <c r="F22" i="1"/>
  <c r="E22" i="1"/>
  <c r="D22" i="1"/>
  <c r="L21" i="1"/>
  <c r="K21" i="1"/>
  <c r="J21" i="1"/>
  <c r="I21" i="1"/>
  <c r="H21" i="1"/>
  <c r="G21" i="1"/>
  <c r="F21" i="1"/>
  <c r="E21" i="1"/>
  <c r="D21" i="1"/>
  <c r="L20" i="1"/>
  <c r="K20" i="1"/>
  <c r="J20" i="1"/>
  <c r="I20" i="1"/>
  <c r="H20" i="1"/>
  <c r="G20" i="1"/>
  <c r="F20" i="1"/>
  <c r="E20" i="1"/>
  <c r="D20" i="1"/>
  <c r="L19" i="1"/>
  <c r="K19" i="1"/>
  <c r="J19" i="1"/>
  <c r="I19" i="1"/>
  <c r="H19" i="1"/>
  <c r="G19" i="1"/>
  <c r="F19" i="1"/>
  <c r="E19" i="1"/>
  <c r="D19" i="1"/>
  <c r="L18" i="1"/>
  <c r="K18" i="1"/>
  <c r="J18" i="1"/>
  <c r="I18" i="1"/>
  <c r="H18" i="1"/>
  <c r="G18" i="1"/>
  <c r="F18" i="1"/>
  <c r="E18" i="1"/>
  <c r="D18" i="1"/>
  <c r="L17" i="1"/>
  <c r="K17" i="1"/>
  <c r="J17" i="1"/>
  <c r="I17" i="1"/>
  <c r="H17" i="1"/>
  <c r="G17" i="1"/>
  <c r="F17" i="1"/>
  <c r="E17" i="1"/>
  <c r="D17" i="1"/>
  <c r="L16" i="1"/>
  <c r="K16" i="1"/>
  <c r="J16" i="1"/>
  <c r="I16" i="1"/>
  <c r="H16" i="1"/>
  <c r="G16" i="1"/>
  <c r="F16" i="1"/>
  <c r="E16" i="1"/>
  <c r="D16" i="1"/>
  <c r="L15" i="1"/>
  <c r="K15" i="1"/>
  <c r="J15" i="1"/>
  <c r="I15" i="1"/>
  <c r="H15" i="1"/>
  <c r="G15" i="1"/>
  <c r="F15" i="1"/>
  <c r="E15" i="1"/>
  <c r="D15" i="1"/>
  <c r="L14" i="1"/>
  <c r="K14" i="1"/>
  <c r="J14" i="1"/>
  <c r="I14" i="1"/>
  <c r="H14" i="1"/>
  <c r="G14" i="1"/>
  <c r="F14" i="1"/>
  <c r="E14" i="1"/>
  <c r="D14" i="1"/>
  <c r="L13" i="1"/>
  <c r="K13" i="1"/>
  <c r="J13" i="1"/>
  <c r="I13" i="1"/>
  <c r="H13" i="1"/>
  <c r="G13" i="1"/>
  <c r="F13" i="1"/>
  <c r="E13" i="1"/>
  <c r="D13" i="1"/>
</calcChain>
</file>

<file path=xl/sharedStrings.xml><?xml version="1.0" encoding="utf-8"?>
<sst xmlns="http://schemas.openxmlformats.org/spreadsheetml/2006/main" count="75" uniqueCount="26">
  <si>
    <t>Indikator 4.2.1: Höchster beruflicher Abschluss der 25- bis unter 35-Jährigen nach Zuwanderungsgeschichte und Geschlecht</t>
  </si>
  <si>
    <r>
      <t>Tabelle 4.2.1: Höchster beruflicher Abschluss der 25- bis unter 35-Jährigen nach Zuwanderungsgeschichte und Geschlecht</t>
    </r>
    <r>
      <rPr>
        <vertAlign val="superscript"/>
        <sz val="9"/>
        <rFont val="NDSFrutiger 55 Roman"/>
      </rPr>
      <t>4)</t>
    </r>
    <r>
      <rPr>
        <sz val="9"/>
        <rFont val="NDSFrutiger 55 Roman"/>
      </rPr>
      <t xml:space="preserve"> </t>
    </r>
  </si>
  <si>
    <t>Höchster Beruflicher Abschluss /
Jahr</t>
  </si>
  <si>
    <r>
      <t>Bevölkerung im Alter von 25 bis unter 35 Jahre</t>
    </r>
    <r>
      <rPr>
        <vertAlign val="superscript"/>
        <sz val="6"/>
        <rFont val="NDSFrutiger 45 Light"/>
      </rPr>
      <t>2)</t>
    </r>
  </si>
  <si>
    <t>Jahr</t>
  </si>
  <si>
    <t>Insgesamt</t>
  </si>
  <si>
    <t>davon</t>
  </si>
  <si>
    <r>
      <t>mit Migrationshintergrund</t>
    </r>
    <r>
      <rPr>
        <vertAlign val="superscript"/>
        <sz val="6"/>
        <rFont val="NDSFrutiger 45 Light"/>
      </rPr>
      <t>3)</t>
    </r>
  </si>
  <si>
    <t>ohne Migrationshintergrund</t>
  </si>
  <si>
    <t>Männer</t>
  </si>
  <si>
    <t>Frauen</t>
  </si>
  <si>
    <t>Prozent</t>
  </si>
  <si>
    <r>
      <t>Ohne Abschluss</t>
    </r>
    <r>
      <rPr>
        <vertAlign val="superscript"/>
        <sz val="6"/>
        <rFont val="NDSFrutiger 45 Light"/>
      </rPr>
      <t>1)</t>
    </r>
  </si>
  <si>
    <t>Abgeschlossene Berufsausbildung</t>
  </si>
  <si>
    <t>Tertiärer Abschluss</t>
  </si>
  <si>
    <t>1) Kein/noch kein beruflicher Abschluss vorhanden; einschließlich Anlernausbildung, Berufsvorbereitungsjahr und beruflichem Praktikum.</t>
  </si>
  <si>
    <t xml:space="preserve">2) Hochrechnung anhand der Bevölkerungsfortschreibung auf Basis des Zensus 2011. Die Hochrechnung für die Jahre vor 2011 sowie für bislang veröffentlichte Ergebnisse des Mikrozensus 2011-2013 basiert auf den fortgeschriebenen Ergebnissen der Volkszählung 1987. In 2016 erfolgte die Umstellung Ab 2017 wird nur noch die Bevölkerung in Privathaushalten (ohne Gemeinschaftsunterkünfte) ausgewiesen. Dadurch ergibt sich jeweils eine eingeschränkte Vergleichbarkeit mit den Vorjahren. </t>
  </si>
  <si>
    <t>3) Seit dem Jahr 2018 wird im Mikrozensus der Migrationshintergrund im weiteren Sinne jährlich berichtet. Die in der Tabelle ab dem Jahr 2018 abgebildeten Daten zum Migrationshintergrund entsprechen dem Migrationshintergrund im weiteren Sinne, bis 2017 wird der Migrationshintergrund im engeren Sinne abgebildet. Die Vergleichbarkeit ist dadurch eingeschränkt.</t>
  </si>
  <si>
    <t xml:space="preserve">4) Die Ergebnisse des Mikrozensus 2020 sind unter anderem aufgrund methodischer Effekte im Rahmen einer Neugestaltung der Erhebung sowie insbesondere aufgrund der Folgen der Corona-Pandemie in Ihrer Datenqualität eingeschränkt. Auf die Verwendung dieser Ergebnisse wird daher verzichtet. Weitere Informationen zur methodischen Neugestaltung des Mikrozensus ab 2020 und zu den Auswirkungen der Neugestaltung und der Corona-Krise auf die Ergebnisse des Jahres 2020 finden Sie auf der Informationsseite des Statistischen Bundesamtes: </t>
  </si>
  <si>
    <t>https://www.destatis.de/DE/Themen/Gesellschaft-Umwelt/Bevoelkerung/Haushalte-Familien/Methoden/mikrozensus-2020.html</t>
  </si>
  <si>
    <t>Quelle: Mikrozensus</t>
  </si>
  <si>
    <t>Niedersächsisches Ministerium für Soziales, Gesundheit und Gleichstellung (Hrsg.),</t>
  </si>
  <si>
    <t>Vervielfältigung und Verbreitung, auch auszugsweise, mit Quellenangabe gestattet.</t>
  </si>
  <si>
    <t>https://www.integrationsmonitoring.niedersachsen.de</t>
  </si>
  <si>
    <t>© Landesamt für Statistik Niedersachsen, Hannover 2026,                                                             </t>
  </si>
  <si>
    <t>Migration und Teilhabe in Niedersachsen - Integrationsmonitoring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</si>
</sst>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u/>
      <sz val="11"/>
      <color theme="10"/>
      <name val="Calibri"/>
      <family val="2"/>
      <scheme val="minor"/>
    </font>
    <font>
      <sz val="9"/>
      <name val="NDSFrutiger 55 Roman"/>
    </font>
    <font>
      <sz val="11"/>
      <name val="NDSFrutiger 55 Roman"/>
    </font>
    <font>
      <vertAlign val="superscript"/>
      <sz val="9"/>
      <name val="NDSFrutiger 55 Roman"/>
    </font>
    <font>
      <sz val="8"/>
      <name val="NDSFrutiger 45 Light"/>
    </font>
    <font>
      <sz val="6"/>
      <name val="NDSFrutiger 45 Light"/>
    </font>
    <font>
      <sz val="10"/>
      <name val="Arial"/>
      <family val="2"/>
    </font>
    <font>
      <vertAlign val="superscript"/>
      <sz val="6"/>
      <name val="NDSFrutiger 45 Light"/>
    </font>
    <font>
      <sz val="6"/>
      <color indexed="8"/>
      <name val="NDSFrutiger 45 Light"/>
    </font>
    <font>
      <sz val="6"/>
      <color theme="1"/>
      <name val="NDSFrutiger 45 Light"/>
    </font>
    <font>
      <u/>
      <sz val="6"/>
      <color theme="10"/>
      <name val="NDSFrutiger 45 Light"/>
    </font>
  </fonts>
  <fills count="2">
    <fill>
      <patternFill patternType="none"/>
    </fill>
    <fill>
      <patternFill patternType="gray125"/>
    </fill>
  </fills>
  <borders count="15">
    <border>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3">
    <xf numFmtId="0" fontId="0" fillId="0" borderId="0"/>
    <xf numFmtId="0" fontId="1" fillId="0" borderId="0" applyNumberFormat="0" applyFill="0" applyBorder="0" applyAlignment="0" applyProtection="0"/>
    <xf numFmtId="0" fontId="7" fillId="0" borderId="0"/>
  </cellStyleXfs>
  <cellXfs count="39">
    <xf numFmtId="0" fontId="0" fillId="0" borderId="0" xfId="0"/>
    <xf numFmtId="164" fontId="10" fillId="0" borderId="0" xfId="0" applyNumberFormat="1" applyFont="1" applyFill="1" applyAlignment="1">
      <alignment vertical="center"/>
    </xf>
    <xf numFmtId="0" fontId="2" fillId="0" borderId="0" xfId="0" applyFont="1" applyFill="1" applyAlignment="1" applyProtection="1">
      <alignment vertical="center"/>
      <protection locked="0"/>
    </xf>
    <xf numFmtId="0" fontId="0" fillId="0" borderId="0" xfId="0" applyFill="1"/>
    <xf numFmtId="0" fontId="3" fillId="0" borderId="0" xfId="0" applyFont="1" applyFill="1" applyAlignment="1" applyProtection="1">
      <alignment vertical="center"/>
      <protection locked="0"/>
    </xf>
    <xf numFmtId="0" fontId="0" fillId="0" borderId="0" xfId="0" applyFill="1" applyProtection="1">
      <protection locked="0"/>
    </xf>
    <xf numFmtId="0" fontId="2" fillId="0" borderId="0" xfId="0" applyFont="1" applyFill="1"/>
    <xf numFmtId="0" fontId="5" fillId="0" borderId="0" xfId="0" applyFont="1" applyFill="1"/>
    <xf numFmtId="0" fontId="6" fillId="0" borderId="1" xfId="0" applyFont="1" applyFill="1" applyBorder="1" applyAlignment="1">
      <alignment horizontal="center" vertical="center" wrapText="1"/>
    </xf>
    <xf numFmtId="0" fontId="6" fillId="0" borderId="2" xfId="2" applyFont="1" applyFill="1" applyBorder="1" applyAlignment="1">
      <alignment horizontal="center" vertical="center"/>
    </xf>
    <xf numFmtId="0" fontId="6" fillId="0" borderId="3" xfId="2" applyFont="1" applyFill="1" applyBorder="1" applyAlignment="1">
      <alignment horizontal="center" vertical="center"/>
    </xf>
    <xf numFmtId="0" fontId="6" fillId="0" borderId="4" xfId="0" applyFont="1" applyFill="1" applyBorder="1" applyAlignment="1">
      <alignment horizontal="center" vertical="center" wrapText="1"/>
    </xf>
    <xf numFmtId="0" fontId="6" fillId="0" borderId="5" xfId="0" applyFont="1" applyFill="1" applyBorder="1" applyAlignment="1">
      <alignment horizontal="center" vertical="center" wrapText="1"/>
    </xf>
    <xf numFmtId="0" fontId="6" fillId="0" borderId="2" xfId="0" applyFont="1" applyFill="1" applyBorder="1" applyAlignment="1">
      <alignment horizontal="center" vertical="center" wrapText="1"/>
    </xf>
    <xf numFmtId="0" fontId="6" fillId="0" borderId="3" xfId="0" applyFont="1" applyFill="1" applyBorder="1" applyAlignment="1">
      <alignment horizontal="center" vertical="center" wrapText="1"/>
    </xf>
    <xf numFmtId="0" fontId="6" fillId="0" borderId="6" xfId="0" applyFont="1" applyFill="1" applyBorder="1" applyAlignment="1">
      <alignment horizontal="center" vertical="center" wrapText="1"/>
    </xf>
    <xf numFmtId="0" fontId="6" fillId="0" borderId="7" xfId="0" applyFont="1" applyFill="1" applyBorder="1" applyAlignment="1">
      <alignment horizontal="center" vertical="center" wrapText="1"/>
    </xf>
    <xf numFmtId="0" fontId="6" fillId="0" borderId="8" xfId="0" applyFont="1" applyFill="1" applyBorder="1" applyAlignment="1">
      <alignment horizontal="center" vertical="center" wrapText="1"/>
    </xf>
    <xf numFmtId="0" fontId="6" fillId="0" borderId="9" xfId="0" applyFont="1" applyFill="1" applyBorder="1" applyAlignment="1">
      <alignment horizontal="center" vertical="center" wrapText="1"/>
    </xf>
    <xf numFmtId="0" fontId="6" fillId="0" borderId="0" xfId="0" applyFont="1" applyFill="1" applyAlignment="1">
      <alignment horizontal="center" vertical="center" wrapText="1"/>
    </xf>
    <xf numFmtId="0" fontId="6" fillId="0" borderId="10" xfId="0" applyFont="1" applyFill="1" applyBorder="1" applyAlignment="1">
      <alignment horizontal="center" vertical="center" wrapText="1"/>
    </xf>
    <xf numFmtId="0" fontId="6" fillId="0" borderId="11" xfId="0" applyFont="1" applyFill="1" applyBorder="1" applyAlignment="1">
      <alignment horizontal="center" vertical="center" wrapText="1"/>
    </xf>
    <xf numFmtId="0" fontId="6" fillId="0" borderId="12" xfId="0" applyFont="1" applyFill="1" applyBorder="1" applyAlignment="1">
      <alignment horizontal="center" vertical="center" wrapText="1"/>
    </xf>
    <xf numFmtId="0" fontId="6" fillId="0" borderId="13" xfId="0" applyFont="1" applyFill="1" applyBorder="1" applyAlignment="1">
      <alignment horizontal="center" vertical="center" wrapText="1"/>
    </xf>
    <xf numFmtId="0" fontId="6" fillId="0" borderId="6" xfId="0" applyFont="1" applyFill="1" applyBorder="1" applyAlignment="1">
      <alignment horizontal="center" vertical="center" wrapText="1"/>
    </xf>
    <xf numFmtId="0" fontId="6" fillId="0" borderId="7" xfId="0" applyFont="1" applyFill="1" applyBorder="1" applyAlignment="1">
      <alignment horizontal="center" vertical="center" wrapText="1"/>
    </xf>
    <xf numFmtId="0" fontId="6" fillId="0" borderId="14" xfId="0" applyFont="1" applyFill="1" applyBorder="1" applyAlignment="1">
      <alignment horizontal="center" vertical="center" wrapText="1"/>
    </xf>
    <xf numFmtId="0" fontId="6" fillId="0" borderId="13" xfId="0" applyFont="1" applyFill="1" applyBorder="1" applyAlignment="1">
      <alignment horizontal="center" vertical="center" wrapText="1"/>
    </xf>
    <xf numFmtId="0" fontId="9" fillId="0" borderId="0" xfId="0" applyFont="1" applyFill="1" applyAlignment="1">
      <alignment horizontal="center" vertical="center" wrapText="1"/>
    </xf>
    <xf numFmtId="0" fontId="6" fillId="0" borderId="0" xfId="0" applyFont="1" applyFill="1" applyAlignment="1">
      <alignment vertical="center" wrapText="1"/>
    </xf>
    <xf numFmtId="0" fontId="6" fillId="0" borderId="0" xfId="0" applyFont="1" applyFill="1" applyAlignment="1">
      <alignment vertical="center"/>
    </xf>
    <xf numFmtId="0" fontId="6" fillId="0" borderId="0" xfId="0" applyFont="1" applyFill="1" applyAlignment="1">
      <alignment horizontal="center" vertical="center" wrapText="1"/>
    </xf>
    <xf numFmtId="0" fontId="6" fillId="0" borderId="0" xfId="0" applyFont="1" applyFill="1" applyAlignment="1">
      <alignment horizontal="center" vertical="center"/>
    </xf>
    <xf numFmtId="164" fontId="6" fillId="0" borderId="0" xfId="0" applyNumberFormat="1" applyFont="1" applyFill="1" applyAlignment="1">
      <alignment vertical="center"/>
    </xf>
    <xf numFmtId="0" fontId="6" fillId="0" borderId="3" xfId="0" applyFont="1" applyFill="1" applyBorder="1" applyAlignment="1">
      <alignment vertical="center"/>
    </xf>
    <xf numFmtId="0" fontId="6" fillId="0" borderId="0" xfId="0" applyFont="1" applyFill="1" applyAlignment="1">
      <alignment horizontal="left" vertical="center" wrapText="1"/>
    </xf>
    <xf numFmtId="0" fontId="11" fillId="0" borderId="0" xfId="1" applyFont="1" applyFill="1" applyBorder="1" applyAlignment="1">
      <alignment horizontal="left" vertical="center"/>
    </xf>
    <xf numFmtId="0" fontId="6" fillId="0" borderId="0" xfId="0" applyFont="1" applyFill="1" applyAlignment="1">
      <alignment horizontal="left" vertical="center" wrapText="1"/>
    </xf>
    <xf numFmtId="0" fontId="6" fillId="0" borderId="0" xfId="0" applyFont="1" applyFill="1" applyAlignment="1">
      <alignment horizontal="left" vertical="center"/>
    </xf>
  </cellXfs>
  <cellStyles count="3">
    <cellStyle name="Link" xfId="1" builtinId="8"/>
    <cellStyle name="Standard" xfId="0" builtinId="0"/>
    <cellStyle name="Standard_Tabelle_A_6_HT" xfId="2" xr:uid="{2239B916-62FA-40D1-AE4E-965EC3BB2B1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6/Datentabellen%202026/2025_4-2-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2-1_Download"/>
      <sheetName val="CSV_Vorbereitung"/>
      <sheetName val="CSV_Export"/>
      <sheetName val="2021"/>
      <sheetName val="2022"/>
      <sheetName val="2023"/>
      <sheetName val="2024"/>
      <sheetName val="2025"/>
    </sheetNames>
    <sheetDataSet>
      <sheetData sheetId="0"/>
      <sheetData sheetId="1"/>
      <sheetData sheetId="2"/>
      <sheetData sheetId="3">
        <row r="14">
          <cell r="D14">
            <v>236.59</v>
          </cell>
          <cell r="E14">
            <v>135.28</v>
          </cell>
          <cell r="F14">
            <v>65.25</v>
          </cell>
          <cell r="G14">
            <v>70.03</v>
          </cell>
          <cell r="H14">
            <v>101.31</v>
          </cell>
          <cell r="I14">
            <v>51.49</v>
          </cell>
          <cell r="J14">
            <v>49.82</v>
          </cell>
        </row>
        <row r="15">
          <cell r="D15">
            <v>467.07</v>
          </cell>
          <cell r="E15">
            <v>242.65</v>
          </cell>
          <cell r="F15">
            <v>193.93</v>
          </cell>
          <cell r="G15">
            <v>48.72</v>
          </cell>
          <cell r="H15">
            <v>224.41</v>
          </cell>
          <cell r="I15">
            <v>180.95</v>
          </cell>
          <cell r="J15">
            <v>43.46</v>
          </cell>
        </row>
        <row r="16">
          <cell r="D16">
            <v>231.92</v>
          </cell>
          <cell r="E16">
            <v>109.83</v>
          </cell>
          <cell r="F16">
            <v>79.78</v>
          </cell>
          <cell r="G16">
            <v>30.05</v>
          </cell>
          <cell r="H16">
            <v>122.1</v>
          </cell>
          <cell r="I16">
            <v>91.14</v>
          </cell>
          <cell r="J16">
            <v>30.95</v>
          </cell>
        </row>
        <row r="17">
          <cell r="D17">
            <v>935.58</v>
          </cell>
          <cell r="E17">
            <v>487.75</v>
          </cell>
          <cell r="F17">
            <v>338.96</v>
          </cell>
          <cell r="G17">
            <v>148.79</v>
          </cell>
          <cell r="H17">
            <v>447.82</v>
          </cell>
          <cell r="I17">
            <v>323.58</v>
          </cell>
          <cell r="J17">
            <v>124.24</v>
          </cell>
        </row>
      </sheetData>
      <sheetData sheetId="4">
        <row r="14">
          <cell r="D14">
            <v>254.56</v>
          </cell>
          <cell r="E14">
            <v>139.59</v>
          </cell>
          <cell r="F14">
            <v>68.11</v>
          </cell>
          <cell r="G14">
            <v>71.48</v>
          </cell>
          <cell r="H14">
            <v>114.98</v>
          </cell>
          <cell r="I14">
            <v>58.08</v>
          </cell>
          <cell r="J14">
            <v>56.9</v>
          </cell>
        </row>
        <row r="15">
          <cell r="D15">
            <v>445.45</v>
          </cell>
          <cell r="E15">
            <v>233.74</v>
          </cell>
          <cell r="F15">
            <v>188.05</v>
          </cell>
          <cell r="G15">
            <v>45.69</v>
          </cell>
          <cell r="H15">
            <v>211.71</v>
          </cell>
          <cell r="I15">
            <v>170.67</v>
          </cell>
          <cell r="J15">
            <v>41.04</v>
          </cell>
        </row>
        <row r="16">
          <cell r="D16">
            <v>246.45</v>
          </cell>
          <cell r="E16">
            <v>115.77</v>
          </cell>
          <cell r="F16">
            <v>81.93</v>
          </cell>
          <cell r="G16">
            <v>33.840000000000003</v>
          </cell>
          <cell r="H16">
            <v>130.68</v>
          </cell>
          <cell r="I16">
            <v>95.99</v>
          </cell>
          <cell r="J16">
            <v>34.69</v>
          </cell>
        </row>
        <row r="17">
          <cell r="D17">
            <v>946.46</v>
          </cell>
          <cell r="E17">
            <v>489.1</v>
          </cell>
          <cell r="F17">
            <v>338.09</v>
          </cell>
          <cell r="G17">
            <v>151.01</v>
          </cell>
          <cell r="H17">
            <v>457.37</v>
          </cell>
          <cell r="I17">
            <v>324.74</v>
          </cell>
          <cell r="J17">
            <v>132.63</v>
          </cell>
        </row>
      </sheetData>
      <sheetData sheetId="5">
        <row r="14">
          <cell r="D14">
            <v>250.2</v>
          </cell>
          <cell r="E14">
            <v>136.21</v>
          </cell>
          <cell r="F14">
            <v>62.12</v>
          </cell>
          <cell r="G14">
            <v>74.09</v>
          </cell>
          <cell r="H14">
            <v>113.99</v>
          </cell>
          <cell r="I14">
            <v>55.29</v>
          </cell>
          <cell r="J14">
            <v>58.7</v>
          </cell>
        </row>
        <row r="15">
          <cell r="D15">
            <v>443.84</v>
          </cell>
          <cell r="E15">
            <v>240.45</v>
          </cell>
          <cell r="F15">
            <v>195.4</v>
          </cell>
          <cell r="G15">
            <v>45.06</v>
          </cell>
          <cell r="H15">
            <v>203.39</v>
          </cell>
          <cell r="I15">
            <v>164.15</v>
          </cell>
          <cell r="J15">
            <v>39.229999999999997</v>
          </cell>
        </row>
        <row r="16">
          <cell r="D16">
            <v>261</v>
          </cell>
          <cell r="E16">
            <v>119.99</v>
          </cell>
          <cell r="F16">
            <v>87.78</v>
          </cell>
          <cell r="G16">
            <v>32.22</v>
          </cell>
          <cell r="H16">
            <v>141.01</v>
          </cell>
          <cell r="I16">
            <v>104.07</v>
          </cell>
          <cell r="J16">
            <v>36.94</v>
          </cell>
        </row>
        <row r="17">
          <cell r="D17">
            <v>955.04</v>
          </cell>
          <cell r="E17">
            <v>496.65</v>
          </cell>
          <cell r="F17">
            <v>345.29</v>
          </cell>
          <cell r="G17">
            <v>151.36000000000001</v>
          </cell>
          <cell r="H17">
            <v>458.39</v>
          </cell>
          <cell r="I17">
            <v>323.52</v>
          </cell>
          <cell r="J17">
            <v>134.87</v>
          </cell>
        </row>
      </sheetData>
      <sheetData sheetId="6">
        <row r="14">
          <cell r="D14">
            <v>240.37</v>
          </cell>
          <cell r="E14">
            <v>136.41</v>
          </cell>
          <cell r="F14">
            <v>57.64</v>
          </cell>
          <cell r="G14">
            <v>78.78</v>
          </cell>
          <cell r="H14">
            <v>103.95</v>
          </cell>
          <cell r="I14">
            <v>47.45</v>
          </cell>
          <cell r="J14">
            <v>56.5</v>
          </cell>
        </row>
        <row r="15">
          <cell r="D15">
            <v>452.11</v>
          </cell>
          <cell r="E15">
            <v>241.4</v>
          </cell>
          <cell r="F15">
            <v>192.17</v>
          </cell>
          <cell r="G15">
            <v>49.23</v>
          </cell>
          <cell r="H15">
            <v>210.71</v>
          </cell>
          <cell r="I15">
            <v>164.17</v>
          </cell>
          <cell r="J15">
            <v>46.54</v>
          </cell>
        </row>
        <row r="16">
          <cell r="D16">
            <v>273.95</v>
          </cell>
          <cell r="E16">
            <v>123.85</v>
          </cell>
          <cell r="F16">
            <v>91.26</v>
          </cell>
          <cell r="G16">
            <v>32.590000000000003</v>
          </cell>
          <cell r="H16">
            <v>150.1</v>
          </cell>
          <cell r="I16">
            <v>109.79</v>
          </cell>
          <cell r="J16">
            <v>40.31</v>
          </cell>
        </row>
        <row r="17">
          <cell r="D17">
            <v>966.43</v>
          </cell>
          <cell r="E17">
            <v>501.66</v>
          </cell>
          <cell r="F17">
            <v>341.07</v>
          </cell>
          <cell r="G17">
            <v>160.6</v>
          </cell>
          <cell r="H17">
            <v>464.76</v>
          </cell>
          <cell r="I17">
            <v>321.41000000000003</v>
          </cell>
          <cell r="J17">
            <v>143.35</v>
          </cell>
        </row>
      </sheetData>
      <sheetData sheetId="7">
        <row r="14">
          <cell r="D14">
            <v>202.95</v>
          </cell>
          <cell r="E14">
            <v>120.18</v>
          </cell>
          <cell r="F14">
            <v>45.63</v>
          </cell>
          <cell r="G14">
            <v>74.55</v>
          </cell>
          <cell r="H14">
            <v>82.77</v>
          </cell>
          <cell r="I14">
            <v>33.64</v>
          </cell>
          <cell r="J14">
            <v>49.13</v>
          </cell>
        </row>
        <row r="15">
          <cell r="D15">
            <v>466.77</v>
          </cell>
          <cell r="E15">
            <v>247.41</v>
          </cell>
          <cell r="F15">
            <v>193.2</v>
          </cell>
          <cell r="G15">
            <v>54.2</v>
          </cell>
          <cell r="H15">
            <v>219.36</v>
          </cell>
          <cell r="I15">
            <v>169.95</v>
          </cell>
          <cell r="J15">
            <v>49.41</v>
          </cell>
        </row>
        <row r="16">
          <cell r="D16">
            <v>280.06</v>
          </cell>
          <cell r="E16">
            <v>128.9</v>
          </cell>
          <cell r="F16">
            <v>91.88</v>
          </cell>
          <cell r="G16">
            <v>37.020000000000003</v>
          </cell>
          <cell r="H16">
            <v>151.16</v>
          </cell>
          <cell r="I16">
            <v>106.91</v>
          </cell>
          <cell r="J16">
            <v>44.25</v>
          </cell>
        </row>
        <row r="17">
          <cell r="D17">
            <v>949.78</v>
          </cell>
          <cell r="E17">
            <v>496.49</v>
          </cell>
          <cell r="F17">
            <v>330.72</v>
          </cell>
          <cell r="G17">
            <v>165.77</v>
          </cell>
          <cell r="H17">
            <v>453.29</v>
          </cell>
          <cell r="I17">
            <v>310.5</v>
          </cell>
          <cell r="J17">
            <v>142.80000000000001</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destatis.de/DE/Themen/Gesellschaft-Umwelt/Bevoelkerung/Haushalte-Familien/Methoden/mikrozensus-2020.html" TargetMode="External"/><Relationship Id="rId1" Type="http://schemas.openxmlformats.org/officeDocument/2006/relationships/hyperlink" Target="https://www.integrationsmonitoring.niedersachsen.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8938B-92FB-48B6-AB37-84FA912D0285}">
  <sheetPr codeName="Tabelle1"/>
  <dimension ref="B1:L70"/>
  <sheetViews>
    <sheetView showGridLines="0" tabSelected="1" zoomScale="130" zoomScaleNormal="130" workbookViewId="0">
      <selection activeCell="B2" sqref="B2"/>
    </sheetView>
  </sheetViews>
  <sheetFormatPr baseColWidth="10" defaultRowHeight="15" x14ac:dyDescent="0.25"/>
  <cols>
    <col min="1" max="1" width="5.7109375" style="3" customWidth="1"/>
    <col min="2" max="2" width="23" style="3" customWidth="1"/>
    <col min="3" max="16384" width="11.42578125" style="3"/>
  </cols>
  <sheetData>
    <row r="1" spans="2:12" ht="15" customHeight="1" x14ac:dyDescent="0.25">
      <c r="B1" s="2" t="s">
        <v>25</v>
      </c>
    </row>
    <row r="2" spans="2:12" ht="15" customHeight="1" x14ac:dyDescent="0.25"/>
    <row r="3" spans="2:12" ht="15" customHeight="1" x14ac:dyDescent="0.25">
      <c r="B3" s="4" t="s">
        <v>0</v>
      </c>
      <c r="C3" s="4"/>
      <c r="D3" s="4"/>
      <c r="E3" s="4"/>
      <c r="F3" s="4"/>
      <c r="G3" s="4"/>
      <c r="H3" s="4"/>
      <c r="I3" s="4"/>
      <c r="J3" s="5"/>
    </row>
    <row r="4" spans="2:12" ht="15" customHeight="1" x14ac:dyDescent="0.25">
      <c r="B4" s="6" t="s">
        <v>1</v>
      </c>
      <c r="C4" s="7"/>
      <c r="D4" s="7"/>
      <c r="E4" s="7"/>
      <c r="F4" s="7"/>
      <c r="G4" s="7"/>
      <c r="H4" s="7"/>
      <c r="I4" s="7"/>
      <c r="J4" s="7"/>
    </row>
    <row r="5" spans="2:12" x14ac:dyDescent="0.25">
      <c r="B5" s="6"/>
      <c r="C5" s="7"/>
      <c r="D5" s="7"/>
      <c r="E5" s="7"/>
      <c r="F5" s="7"/>
      <c r="G5" s="7"/>
      <c r="H5" s="7"/>
      <c r="I5" s="7"/>
      <c r="J5" s="7"/>
    </row>
    <row r="6" spans="2:12" ht="8.25" customHeight="1" x14ac:dyDescent="0.25">
      <c r="B6" s="8" t="s">
        <v>2</v>
      </c>
      <c r="C6" s="9" t="s">
        <v>3</v>
      </c>
      <c r="D6" s="10"/>
      <c r="E6" s="10"/>
      <c r="F6" s="10"/>
      <c r="G6" s="10"/>
      <c r="H6" s="10"/>
      <c r="I6" s="10"/>
      <c r="J6" s="10"/>
      <c r="K6" s="10"/>
      <c r="L6" s="10"/>
    </row>
    <row r="7" spans="2:12" ht="8.25" customHeight="1" x14ac:dyDescent="0.25">
      <c r="B7" s="11"/>
      <c r="C7" s="12" t="s">
        <v>4</v>
      </c>
      <c r="D7" s="13" t="s">
        <v>5</v>
      </c>
      <c r="E7" s="14"/>
      <c r="F7" s="8"/>
      <c r="G7" s="15" t="s">
        <v>6</v>
      </c>
      <c r="H7" s="15"/>
      <c r="I7" s="15"/>
      <c r="J7" s="15"/>
      <c r="K7" s="15"/>
      <c r="L7" s="16"/>
    </row>
    <row r="8" spans="2:12" ht="8.25" customHeight="1" x14ac:dyDescent="0.25">
      <c r="B8" s="11"/>
      <c r="C8" s="17"/>
      <c r="D8" s="18"/>
      <c r="E8" s="19"/>
      <c r="F8" s="11"/>
      <c r="G8" s="13" t="s">
        <v>7</v>
      </c>
      <c r="H8" s="14"/>
      <c r="I8" s="8"/>
      <c r="J8" s="15" t="s">
        <v>8</v>
      </c>
      <c r="K8" s="15"/>
      <c r="L8" s="16"/>
    </row>
    <row r="9" spans="2:12" ht="8.25" customHeight="1" x14ac:dyDescent="0.25">
      <c r="B9" s="11"/>
      <c r="C9" s="17"/>
      <c r="D9" s="20"/>
      <c r="E9" s="21"/>
      <c r="F9" s="22"/>
      <c r="G9" s="20"/>
      <c r="H9" s="21"/>
      <c r="I9" s="22"/>
      <c r="J9" s="15"/>
      <c r="K9" s="15"/>
      <c r="L9" s="16"/>
    </row>
    <row r="10" spans="2:12" ht="8.25" customHeight="1" x14ac:dyDescent="0.25">
      <c r="B10" s="11"/>
      <c r="C10" s="17"/>
      <c r="D10" s="23" t="s">
        <v>5</v>
      </c>
      <c r="E10" s="24" t="s">
        <v>9</v>
      </c>
      <c r="F10" s="24" t="s">
        <v>10</v>
      </c>
      <c r="G10" s="24" t="s">
        <v>5</v>
      </c>
      <c r="H10" s="24" t="s">
        <v>9</v>
      </c>
      <c r="I10" s="24" t="s">
        <v>10</v>
      </c>
      <c r="J10" s="24" t="s">
        <v>5</v>
      </c>
      <c r="K10" s="24" t="s">
        <v>9</v>
      </c>
      <c r="L10" s="25" t="s">
        <v>10</v>
      </c>
    </row>
    <row r="11" spans="2:12" ht="8.25" customHeight="1" x14ac:dyDescent="0.25">
      <c r="B11" s="22"/>
      <c r="C11" s="26"/>
      <c r="D11" s="27" t="s">
        <v>11</v>
      </c>
      <c r="E11" s="15"/>
      <c r="F11" s="15"/>
      <c r="G11" s="15"/>
      <c r="H11" s="15"/>
      <c r="I11" s="15"/>
      <c r="J11" s="15"/>
      <c r="K11" s="15"/>
      <c r="L11" s="16"/>
    </row>
    <row r="12" spans="2:12" ht="8.25" customHeight="1" x14ac:dyDescent="0.25">
      <c r="B12" s="28">
        <v>1</v>
      </c>
      <c r="C12" s="28">
        <v>2</v>
      </c>
      <c r="D12" s="28">
        <v>3</v>
      </c>
      <c r="E12" s="28">
        <v>4</v>
      </c>
      <c r="F12" s="28">
        <v>5</v>
      </c>
      <c r="G12" s="28">
        <v>6</v>
      </c>
      <c r="H12" s="28">
        <v>7</v>
      </c>
      <c r="I12" s="28">
        <v>8</v>
      </c>
      <c r="J12" s="28">
        <v>9</v>
      </c>
      <c r="K12" s="28">
        <v>10</v>
      </c>
      <c r="L12" s="28">
        <v>11</v>
      </c>
    </row>
    <row r="13" spans="2:12" ht="8.25" customHeight="1" x14ac:dyDescent="0.25">
      <c r="B13" s="29" t="s">
        <v>12</v>
      </c>
      <c r="C13" s="28">
        <v>2025</v>
      </c>
      <c r="D13" s="1">
        <f>'[1]2025'!D14/'[1]2025'!D17*100</f>
        <v>21.36810629830066</v>
      </c>
      <c r="E13" s="1">
        <f>'[1]2025'!E14/'[1]2025'!E17*100</f>
        <v>24.205925597695828</v>
      </c>
      <c r="F13" s="1">
        <f>'[1]2025'!H14/'[1]2025'!H17*100</f>
        <v>18.259833660570493</v>
      </c>
      <c r="G13" s="1">
        <f>('[1]2025'!G14+'[1]2025'!J14)/('[1]2025'!$G$17+'[1]2025'!$J$17)*100</f>
        <v>40.08166704475483</v>
      </c>
      <c r="H13" s="1">
        <f>'[1]2025'!G14/'[1]2025'!$G$17*100</f>
        <v>44.971949086083121</v>
      </c>
      <c r="I13" s="1">
        <f>'[1]2025'!J14/'[1]2025'!$J$17*100</f>
        <v>34.404761904761905</v>
      </c>
      <c r="J13" s="1">
        <f>('[1]2025'!F14+'[1]2025'!I14)/('[1]2025'!$F$17+'[1]2025'!$I$17)*100</f>
        <v>12.362371728891802</v>
      </c>
      <c r="K13" s="1">
        <f>'[1]2025'!F14/'[1]2025'!$F$17*100</f>
        <v>13.797169811320753</v>
      </c>
      <c r="L13" s="1">
        <f>'[1]2025'!I14/'[1]2025'!$I$17*100</f>
        <v>10.8341384863124</v>
      </c>
    </row>
    <row r="14" spans="2:12" ht="8.25" customHeight="1" x14ac:dyDescent="0.25">
      <c r="B14" s="30" t="s">
        <v>13</v>
      </c>
      <c r="C14" s="28">
        <v>2025</v>
      </c>
      <c r="D14" s="1">
        <f>'[1]2025'!D15/'[1]2025'!D17*100</f>
        <v>49.145065172987429</v>
      </c>
      <c r="E14" s="1">
        <f>'[1]2025'!E15/'[1]2025'!E17*100</f>
        <v>49.831819371991379</v>
      </c>
      <c r="F14" s="1">
        <f>'[1]2025'!H15/'[1]2025'!H17*100</f>
        <v>48.392861082309338</v>
      </c>
      <c r="G14" s="1">
        <f>('[1]2025'!G15+'[1]2025'!J15)/('[1]2025'!$G$17+'[1]2025'!$J$17)*100</f>
        <v>33.577470266066037</v>
      </c>
      <c r="H14" s="1">
        <f>'[1]2025'!G15/'[1]2025'!$G$17*100</f>
        <v>32.695903963322678</v>
      </c>
      <c r="I14" s="1">
        <f>'[1]2025'!J15/'[1]2025'!$J$17*100</f>
        <v>34.600840336134446</v>
      </c>
      <c r="J14" s="1">
        <f>('[1]2025'!F15+'[1]2025'!I15)/('[1]2025'!$F$17+'[1]2025'!$I$17)*100</f>
        <v>56.634228501918216</v>
      </c>
      <c r="K14" s="1">
        <f>'[1]2025'!F15/'[1]2025'!$F$17*100</f>
        <v>58.41799709724237</v>
      </c>
      <c r="L14" s="1">
        <f>'[1]2025'!I15/'[1]2025'!$I$17*100</f>
        <v>54.734299516908216</v>
      </c>
    </row>
    <row r="15" spans="2:12" ht="8.25" customHeight="1" x14ac:dyDescent="0.25">
      <c r="B15" s="29" t="s">
        <v>14</v>
      </c>
      <c r="C15" s="28">
        <v>2025</v>
      </c>
      <c r="D15" s="1">
        <f>'[1]2025'!D16/'[1]2025'!D17*100</f>
        <v>29.486828528711911</v>
      </c>
      <c r="E15" s="1">
        <f>'[1]2025'!E16/'[1]2025'!E17*100</f>
        <v>25.962255030312797</v>
      </c>
      <c r="F15" s="1">
        <f>'[1]2025'!H16/'[1]2025'!H17*100</f>
        <v>33.347305257120162</v>
      </c>
      <c r="G15" s="1">
        <f>('[1]2025'!G16+'[1]2025'!J16)/('[1]2025'!$G$17+'[1]2025'!$J$17)*100</f>
        <v>26.337621933434875</v>
      </c>
      <c r="H15" s="1">
        <f>'[1]2025'!G16/'[1]2025'!$G$17*100</f>
        <v>22.332146950594197</v>
      </c>
      <c r="I15" s="1">
        <f>'[1]2025'!J16/'[1]2025'!$J$17*100</f>
        <v>30.987394957983188</v>
      </c>
      <c r="J15" s="1">
        <f>('[1]2025'!F16+'[1]2025'!I16)/('[1]2025'!$F$17+'[1]2025'!$I$17)*100</f>
        <v>31.001840242038615</v>
      </c>
      <c r="K15" s="1">
        <f>'[1]2025'!F16/'[1]2025'!$F$17*100</f>
        <v>27.781809385582967</v>
      </c>
      <c r="L15" s="1">
        <f>'[1]2025'!I16/'[1]2025'!$I$17*100</f>
        <v>34.431561996779386</v>
      </c>
    </row>
    <row r="16" spans="2:12" ht="8.25" customHeight="1" x14ac:dyDescent="0.25">
      <c r="B16" s="29" t="s">
        <v>12</v>
      </c>
      <c r="C16" s="28">
        <v>2024</v>
      </c>
      <c r="D16" s="1">
        <f>'[1]2024'!D14/'[1]2024'!D17*100</f>
        <v>24.871951408793187</v>
      </c>
      <c r="E16" s="1">
        <f>'[1]2024'!E14/'[1]2024'!E17*100</f>
        <v>27.191723478052864</v>
      </c>
      <c r="F16" s="1">
        <f>'[1]2024'!H14/'[1]2024'!H17*100</f>
        <v>22.366382649109219</v>
      </c>
      <c r="G16" s="1">
        <f>('[1]2024'!G14+'[1]2024'!J14)/('[1]2024'!$G$17+'[1]2024'!$J$17)*100</f>
        <v>44.507320282941279</v>
      </c>
      <c r="H16" s="1">
        <f>'[1]2024'!G14/'[1]2024'!$G$17*100</f>
        <v>49.053549190535492</v>
      </c>
      <c r="I16" s="1">
        <f>'[1]2024'!J14/'[1]2024'!$J$17*100</f>
        <v>39.414021625392401</v>
      </c>
      <c r="J16" s="1">
        <f>('[1]2024'!F14+'[1]2024'!I14)/('[1]2024'!$F$17+'[1]2024'!$I$17)*100</f>
        <v>15.86312039608743</v>
      </c>
      <c r="K16" s="1">
        <f>'[1]2024'!F14/'[1]2024'!$F$17*100</f>
        <v>16.899756648195385</v>
      </c>
      <c r="L16" s="1">
        <f>'[1]2024'!I14/'[1]2024'!$I$17*100</f>
        <v>14.763075199900438</v>
      </c>
    </row>
    <row r="17" spans="2:12" ht="8.25" customHeight="1" x14ac:dyDescent="0.25">
      <c r="B17" s="30" t="s">
        <v>13</v>
      </c>
      <c r="C17" s="28">
        <v>2024</v>
      </c>
      <c r="D17" s="1">
        <f>'[1]2024'!D15/'[1]2024'!D17*100</f>
        <v>46.781453390312805</v>
      </c>
      <c r="E17" s="1">
        <f>'[1]2024'!E15/'[1]2024'!E17*100</f>
        <v>48.120240800542199</v>
      </c>
      <c r="F17" s="1">
        <f>'[1]2024'!H15/'[1]2024'!H17*100</f>
        <v>45.337378431878825</v>
      </c>
      <c r="G17" s="1">
        <f>('[1]2024'!G15+'[1]2024'!J15)/('[1]2024'!$G$17+'[1]2024'!$J$17)*100</f>
        <v>31.50847178812305</v>
      </c>
      <c r="H17" s="1">
        <f>'[1]2024'!G15/'[1]2024'!$G$17*100</f>
        <v>30.653798256537986</v>
      </c>
      <c r="I17" s="1">
        <f>'[1]2024'!J15/'[1]2024'!$J$17*100</f>
        <v>32.465992326473661</v>
      </c>
      <c r="J17" s="1">
        <f>('[1]2024'!F15+'[1]2024'!I15)/('[1]2024'!$F$17+'[1]2024'!$I$17)*100</f>
        <v>53.788793623958455</v>
      </c>
      <c r="K17" s="1">
        <f>'[1]2024'!F15/'[1]2024'!$F$17*100</f>
        <v>56.343272641979645</v>
      </c>
      <c r="L17" s="1">
        <f>'[1]2024'!I15/'[1]2024'!$I$17*100</f>
        <v>51.078062288043299</v>
      </c>
    </row>
    <row r="18" spans="2:12" ht="8.25" customHeight="1" x14ac:dyDescent="0.25">
      <c r="B18" s="29" t="s">
        <v>14</v>
      </c>
      <c r="C18" s="28">
        <v>2024</v>
      </c>
      <c r="D18" s="1">
        <f>'[1]2024'!D16/'[1]2024'!D17*100</f>
        <v>28.346595200894015</v>
      </c>
      <c r="E18" s="1">
        <f>'[1]2024'!E16/'[1]2024'!E17*100</f>
        <v>24.688035721404933</v>
      </c>
      <c r="F18" s="1">
        <f>'[1]2024'!H16/'[1]2024'!H17*100</f>
        <v>32.296238919011962</v>
      </c>
      <c r="G18" s="1">
        <f>('[1]2024'!G16+'[1]2024'!J16)/('[1]2024'!$G$17+'[1]2024'!$J$17)*100</f>
        <v>23.984207928935682</v>
      </c>
      <c r="H18" s="1">
        <f>'[1]2024'!G16/'[1]2024'!$G$17*100</f>
        <v>20.29265255292653</v>
      </c>
      <c r="I18" s="1">
        <f>'[1]2024'!J16/'[1]2024'!$J$17*100</f>
        <v>28.119986048133939</v>
      </c>
      <c r="J18" s="1">
        <f>('[1]2024'!F16+'[1]2024'!I16)/('[1]2024'!$F$17+'[1]2024'!$I$17)*100</f>
        <v>30.348085979954114</v>
      </c>
      <c r="K18" s="1">
        <f>'[1]2024'!F16/'[1]2024'!$F$17*100</f>
        <v>26.756970709824962</v>
      </c>
      <c r="L18" s="1">
        <f>'[1]2024'!I16/'[1]2024'!$I$17*100</f>
        <v>34.158862512056253</v>
      </c>
    </row>
    <row r="19" spans="2:12" ht="8.25" customHeight="1" x14ac:dyDescent="0.25">
      <c r="B19" s="29" t="s">
        <v>12</v>
      </c>
      <c r="C19" s="28">
        <v>2023</v>
      </c>
      <c r="D19" s="1">
        <f>'[1]2023'!D14/'[1]2023'!D17*100</f>
        <v>26.197855587200536</v>
      </c>
      <c r="E19" s="1">
        <f>'[1]2023'!E14/'[1]2023'!E17*100</f>
        <v>27.425752542031617</v>
      </c>
      <c r="F19" s="1">
        <f>'[1]2023'!H14/'[1]2023'!H17*100</f>
        <v>24.867470930866727</v>
      </c>
      <c r="G19" s="1">
        <f>('[1]2023'!G14+'[1]2023'!J14)/('[1]2023'!$G$17+'[1]2023'!$J$17)*100</f>
        <v>46.392761066275376</v>
      </c>
      <c r="H19" s="1">
        <f>'[1]2023'!G14/'[1]2023'!$G$17*100</f>
        <v>48.949524312896401</v>
      </c>
      <c r="I19" s="1">
        <f>'[1]2023'!J14/'[1]2023'!$J$17*100</f>
        <v>43.523392896863648</v>
      </c>
      <c r="J19" s="1">
        <f>('[1]2023'!F14+'[1]2023'!I14)/('[1]2023'!$F$17+'[1]2023'!$I$17)*100</f>
        <v>17.555060480555014</v>
      </c>
      <c r="K19" s="1">
        <f>'[1]2023'!F14/'[1]2023'!$F$17*100</f>
        <v>17.990674505488137</v>
      </c>
      <c r="L19" s="1">
        <f>'[1]2023'!I14/'[1]2023'!$I$17*100</f>
        <v>17.090133531157271</v>
      </c>
    </row>
    <row r="20" spans="2:12" ht="8.25" customHeight="1" x14ac:dyDescent="0.25">
      <c r="B20" s="30" t="s">
        <v>13</v>
      </c>
      <c r="C20" s="28">
        <v>2023</v>
      </c>
      <c r="D20" s="1">
        <f>'[1]2023'!D15/'[1]2023'!D17*100</f>
        <v>46.473446138381632</v>
      </c>
      <c r="E20" s="1">
        <f>'[1]2023'!E15/'[1]2023'!E17*100</f>
        <v>48.414376321353068</v>
      </c>
      <c r="F20" s="1">
        <f>'[1]2023'!H15/'[1]2023'!H17*100</f>
        <v>44.370514190972749</v>
      </c>
      <c r="G20" s="1">
        <f>('[1]2023'!G15+'[1]2023'!J15)/('[1]2023'!$G$17+'[1]2023'!$J$17)*100</f>
        <v>29.448345735946614</v>
      </c>
      <c r="H20" s="1">
        <f>'[1]2023'!G15/'[1]2023'!$G$17*100</f>
        <v>29.770084566596193</v>
      </c>
      <c r="I20" s="1">
        <f>'[1]2023'!J15/'[1]2023'!$J$17*100</f>
        <v>29.08726922221398</v>
      </c>
      <c r="J20" s="1">
        <f>('[1]2023'!F15+'[1]2023'!I15)/('[1]2023'!$F$17+'[1]2023'!$I$17)*100</f>
        <v>53.759662684469433</v>
      </c>
      <c r="K20" s="1">
        <f>'[1]2023'!F15/'[1]2023'!$F$17*100</f>
        <v>56.590112658924383</v>
      </c>
      <c r="L20" s="1">
        <f>'[1]2023'!I15/'[1]2023'!$I$17*100</f>
        <v>50.738748763600405</v>
      </c>
    </row>
    <row r="21" spans="2:12" ht="8.25" customHeight="1" x14ac:dyDescent="0.25">
      <c r="B21" s="29" t="s">
        <v>14</v>
      </c>
      <c r="C21" s="28">
        <v>2023</v>
      </c>
      <c r="D21" s="1">
        <f>'[1]2023'!D16/'[1]2023'!D17*100</f>
        <v>27.328698274417828</v>
      </c>
      <c r="E21" s="1">
        <f>'[1]2023'!E16/'[1]2023'!E17*100</f>
        <v>24.159871136615322</v>
      </c>
      <c r="F21" s="1">
        <f>'[1]2023'!H16/'[1]2023'!H17*100</f>
        <v>30.762014878160514</v>
      </c>
      <c r="G21" s="1">
        <f>('[1]2023'!G16+'[1]2023'!J16)/('[1]2023'!$G$17+'[1]2023'!$J$17)*100</f>
        <v>24.16238689166055</v>
      </c>
      <c r="H21" s="1">
        <f>'[1]2023'!G16/'[1]2023'!$G$17*100</f>
        <v>21.286997885835092</v>
      </c>
      <c r="I21" s="1">
        <f>'[1]2023'!J16/'[1]2023'!$J$17*100</f>
        <v>27.389337880922366</v>
      </c>
      <c r="J21" s="1">
        <f>('[1]2023'!F16+'[1]2023'!I16)/('[1]2023'!$F$17+'[1]2023'!$I$17)*100</f>
        <v>28.685276834975554</v>
      </c>
      <c r="K21" s="1">
        <f>'[1]2023'!F16/'[1]2023'!$F$17*100</f>
        <v>25.422108951895506</v>
      </c>
      <c r="L21" s="1">
        <f>'[1]2023'!I16/'[1]2023'!$I$17*100</f>
        <v>32.168026706231458</v>
      </c>
    </row>
    <row r="22" spans="2:12" ht="8.25" customHeight="1" x14ac:dyDescent="0.25">
      <c r="B22" s="29" t="s">
        <v>12</v>
      </c>
      <c r="C22" s="28">
        <v>2022</v>
      </c>
      <c r="D22" s="1">
        <f>'[1]2022'!D14/'[1]2022'!D17*100</f>
        <v>26.896012509773261</v>
      </c>
      <c r="E22" s="1">
        <f>'[1]2022'!E14/'[1]2022'!E17*100</f>
        <v>28.540175833162952</v>
      </c>
      <c r="F22" s="1">
        <f>'[1]2022'!H14/'[1]2022'!H17*100</f>
        <v>25.13938386864027</v>
      </c>
      <c r="G22" s="1">
        <f>('[1]2022'!G14+'[1]2022'!J14)/('[1]2022'!$G$17+'[1]2022'!$J$17)*100</f>
        <v>45.261599210266532</v>
      </c>
      <c r="H22" s="1">
        <f>'[1]2022'!G14/'[1]2022'!$G$17*100</f>
        <v>47.334613601748231</v>
      </c>
      <c r="I22" s="1">
        <f>'[1]2022'!J14/'[1]2022'!$J$17*100</f>
        <v>42.901304380607705</v>
      </c>
      <c r="J22" s="1">
        <f>('[1]2022'!F14+'[1]2022'!I14)/('[1]2022'!$F$17+'[1]2022'!$I$17)*100</f>
        <v>19.038064058657575</v>
      </c>
      <c r="K22" s="1">
        <f>'[1]2022'!F14/'[1]2022'!$F$17*100</f>
        <v>20.145523381348163</v>
      </c>
      <c r="L22" s="1">
        <f>'[1]2022'!I14/'[1]2022'!$I$17*100</f>
        <v>17.885077292603313</v>
      </c>
    </row>
    <row r="23" spans="2:12" ht="8.25" customHeight="1" x14ac:dyDescent="0.25">
      <c r="B23" s="30" t="s">
        <v>13</v>
      </c>
      <c r="C23" s="28">
        <v>2022</v>
      </c>
      <c r="D23" s="1">
        <f>'[1]2022'!D15/'[1]2022'!D17*100</f>
        <v>47.064852186040611</v>
      </c>
      <c r="E23" s="1">
        <f>'[1]2022'!E15/'[1]2022'!E17*100</f>
        <v>47.78981803312206</v>
      </c>
      <c r="F23" s="1">
        <f>'[1]2022'!H15/'[1]2022'!H17*100</f>
        <v>46.288562870323808</v>
      </c>
      <c r="G23" s="1">
        <f>('[1]2022'!G15+'[1]2022'!J15)/('[1]2022'!$G$17+'[1]2022'!$J$17)*100</f>
        <v>30.577492596248764</v>
      </c>
      <c r="H23" s="1">
        <f>'[1]2022'!G15/'[1]2022'!$G$17*100</f>
        <v>30.256274418912653</v>
      </c>
      <c r="I23" s="1">
        <f>'[1]2022'!J15/'[1]2022'!$J$17*100</f>
        <v>30.943225514589461</v>
      </c>
      <c r="J23" s="1">
        <f>('[1]2022'!F15+'[1]2022'!I15)/('[1]2022'!$F$17+'[1]2022'!$I$17)*100</f>
        <v>54.119457477784664</v>
      </c>
      <c r="K23" s="1">
        <f>'[1]2022'!F15/'[1]2022'!$F$17*100</f>
        <v>55.621284273418325</v>
      </c>
      <c r="L23" s="1">
        <f>'[1]2022'!I15/'[1]2022'!$I$17*100</f>
        <v>52.555890866539379</v>
      </c>
    </row>
    <row r="24" spans="2:12" ht="8.25" customHeight="1" x14ac:dyDescent="0.25">
      <c r="B24" s="29" t="s">
        <v>14</v>
      </c>
      <c r="C24" s="28">
        <v>2022</v>
      </c>
      <c r="D24" s="1">
        <f>'[1]2022'!D16/'[1]2022'!D17*100</f>
        <v>26.039135304186122</v>
      </c>
      <c r="E24" s="1">
        <f>'[1]2022'!E16/'[1]2022'!E17*100</f>
        <v>23.670006133714985</v>
      </c>
      <c r="F24" s="1">
        <f>'[1]2022'!H16/'[1]2022'!H17*100</f>
        <v>28.572053261035922</v>
      </c>
      <c r="G24" s="1">
        <f>('[1]2022'!G16+'[1]2022'!J16)/('[1]2022'!$G$17+'[1]2022'!$J$17)*100</f>
        <v>24.160908193484701</v>
      </c>
      <c r="H24" s="1">
        <f>'[1]2022'!G16/'[1]2022'!$G$17*100</f>
        <v>22.409111979339119</v>
      </c>
      <c r="I24" s="1">
        <f>'[1]2022'!J16/'[1]2022'!$J$17*100</f>
        <v>26.155470104802838</v>
      </c>
      <c r="J24" s="1">
        <f>('[1]2022'!F16+'[1]2022'!I16)/('[1]2022'!$F$17+'[1]2022'!$I$17)*100</f>
        <v>26.842478463557779</v>
      </c>
      <c r="K24" s="1">
        <f>'[1]2022'!F16/'[1]2022'!$F$17*100</f>
        <v>24.233192345233519</v>
      </c>
      <c r="L24" s="1">
        <f>'[1]2022'!I16/'[1]2022'!$I$17*100</f>
        <v>29.559031840857298</v>
      </c>
    </row>
    <row r="25" spans="2:12" ht="8.25" customHeight="1" x14ac:dyDescent="0.25">
      <c r="B25" s="29" t="s">
        <v>12</v>
      </c>
      <c r="C25" s="28">
        <v>2021</v>
      </c>
      <c r="D25" s="1">
        <f>'[1]2021'!D14/'[1]2021'!D17*100</f>
        <v>25.288056606596975</v>
      </c>
      <c r="E25" s="1">
        <f>'[1]2021'!E14/'[1]2021'!E17*100</f>
        <v>27.735520246027679</v>
      </c>
      <c r="F25" s="1">
        <f>'[1]2021'!H14/'[1]2021'!H17*100</f>
        <v>22.622928855343666</v>
      </c>
      <c r="G25" s="1">
        <f>('[1]2021'!G14+'[1]2021'!J14)/('[1]2021'!$G$17+'[1]2021'!$J$17)*100</f>
        <v>43.896275134600593</v>
      </c>
      <c r="H25" s="1">
        <f>'[1]2021'!G14/'[1]2021'!$G$17*100</f>
        <v>47.066335103165542</v>
      </c>
      <c r="I25" s="1">
        <f>'[1]2021'!J14/'[1]2021'!$J$17*100</f>
        <v>40.099806825499037</v>
      </c>
      <c r="J25" s="1">
        <f>('[1]2021'!F14+'[1]2021'!I14)/('[1]2021'!$F$17+'[1]2021'!$I$17)*100</f>
        <v>17.620068222296016</v>
      </c>
      <c r="K25" s="1">
        <f>'[1]2021'!F14/'[1]2021'!$F$17*100</f>
        <v>19.250059004012275</v>
      </c>
      <c r="L25" s="1">
        <f>'[1]2021'!I14/'[1]2021'!$I$17*100</f>
        <v>15.912602756659869</v>
      </c>
    </row>
    <row r="26" spans="2:12" ht="8.25" customHeight="1" x14ac:dyDescent="0.25">
      <c r="B26" s="30" t="s">
        <v>13</v>
      </c>
      <c r="C26" s="28">
        <v>2021</v>
      </c>
      <c r="D26" s="1">
        <f>'[1]2021'!D15/'[1]2021'!D17*100</f>
        <v>49.923042390816391</v>
      </c>
      <c r="E26" s="1">
        <f>'[1]2021'!E15/'[1]2021'!E17*100</f>
        <v>49.748846745258838</v>
      </c>
      <c r="F26" s="1">
        <f>'[1]2021'!H15/'[1]2021'!H17*100</f>
        <v>50.11165200303693</v>
      </c>
      <c r="G26" s="1">
        <f>('[1]2021'!G15+'[1]2021'!J15)/('[1]2021'!$G$17+'[1]2021'!$J$17)*100</f>
        <v>33.761857671318175</v>
      </c>
      <c r="H26" s="1">
        <f>'[1]2021'!G15/'[1]2021'!$G$17*100</f>
        <v>32.744136030647219</v>
      </c>
      <c r="I26" s="1">
        <f>'[1]2021'!J15/'[1]2021'!$J$17*100</f>
        <v>34.980682549903413</v>
      </c>
      <c r="J26" s="1">
        <f>('[1]2021'!F15+'[1]2021'!I15)/('[1]2021'!$F$17+'[1]2021'!$I$17)*100</f>
        <v>56.582244090922821</v>
      </c>
      <c r="K26" s="1">
        <f>'[1]2021'!F15/'[1]2021'!$F$17*100</f>
        <v>57.213240500354033</v>
      </c>
      <c r="L26" s="1">
        <f>'[1]2021'!I15/'[1]2021'!$I$17*100</f>
        <v>55.921255949069781</v>
      </c>
    </row>
    <row r="27" spans="2:12" ht="8.25" customHeight="1" x14ac:dyDescent="0.25">
      <c r="B27" s="29" t="s">
        <v>14</v>
      </c>
      <c r="C27" s="28">
        <v>2021</v>
      </c>
      <c r="D27" s="1">
        <f>'[1]2021'!D16/'[1]2021'!D17*100</f>
        <v>24.788901002586627</v>
      </c>
      <c r="E27" s="1">
        <f>'[1]2021'!E16/'[1]2021'!E17*100</f>
        <v>22.517683239364427</v>
      </c>
      <c r="F27" s="1">
        <f>'[1]2021'!H16/'[1]2021'!H17*100</f>
        <v>27.2654191416194</v>
      </c>
      <c r="G27" s="1">
        <f>('[1]2021'!G16+'[1]2021'!J16)/('[1]2021'!$G$17+'[1]2021'!$J$17)*100</f>
        <v>22.341867194081239</v>
      </c>
      <c r="H27" s="1">
        <f>'[1]2021'!G16/'[1]2021'!$G$17*100</f>
        <v>20.196249747966935</v>
      </c>
      <c r="I27" s="1">
        <f>'[1]2021'!J16/'[1]2021'!$J$17*100</f>
        <v>24.911461687057308</v>
      </c>
      <c r="J27" s="1">
        <f>('[1]2021'!F16+'[1]2021'!I16)/('[1]2021'!$F$17+'[1]2021'!$I$17)*100</f>
        <v>25.797687686781178</v>
      </c>
      <c r="K27" s="1">
        <f>'[1]2021'!F16/'[1]2021'!$F$17*100</f>
        <v>23.536700495633706</v>
      </c>
      <c r="L27" s="1">
        <f>'[1]2021'!I16/'[1]2021'!$I$17*100</f>
        <v>28.166141294270354</v>
      </c>
    </row>
    <row r="28" spans="2:12" ht="8.25" customHeight="1" x14ac:dyDescent="0.25">
      <c r="B28" s="29" t="s">
        <v>12</v>
      </c>
      <c r="C28" s="28">
        <v>2019</v>
      </c>
      <c r="D28" s="1">
        <v>21.64</v>
      </c>
      <c r="E28" s="1">
        <v>23.17</v>
      </c>
      <c r="F28" s="1">
        <v>19.91</v>
      </c>
      <c r="G28" s="1">
        <v>39.78</v>
      </c>
      <c r="H28" s="1">
        <v>42.48</v>
      </c>
      <c r="I28" s="1">
        <v>36.43</v>
      </c>
      <c r="J28" s="1">
        <v>14.03</v>
      </c>
      <c r="K28" s="1">
        <v>14.58</v>
      </c>
      <c r="L28" s="1">
        <v>13.44</v>
      </c>
    </row>
    <row r="29" spans="2:12" ht="8.25" customHeight="1" x14ac:dyDescent="0.25">
      <c r="B29" s="30" t="s">
        <v>13</v>
      </c>
      <c r="C29" s="28">
        <v>2019</v>
      </c>
      <c r="D29" s="1">
        <v>46.87</v>
      </c>
      <c r="E29" s="1">
        <v>48.72</v>
      </c>
      <c r="F29" s="1">
        <v>44.77</v>
      </c>
      <c r="G29" s="1">
        <v>34.21</v>
      </c>
      <c r="H29" s="1">
        <v>34.56</v>
      </c>
      <c r="I29" s="1">
        <v>33.770000000000003</v>
      </c>
      <c r="J29" s="1">
        <v>52.18</v>
      </c>
      <c r="K29" s="1">
        <v>55.02</v>
      </c>
      <c r="L29" s="1">
        <v>49.09</v>
      </c>
    </row>
    <row r="30" spans="2:12" ht="8.25" customHeight="1" x14ac:dyDescent="0.25">
      <c r="B30" s="29" t="s">
        <v>14</v>
      </c>
      <c r="C30" s="28">
        <v>2019</v>
      </c>
      <c r="D30" s="1">
        <v>31.49</v>
      </c>
      <c r="E30" s="1">
        <v>28.11</v>
      </c>
      <c r="F30" s="1">
        <v>35.31</v>
      </c>
      <c r="G30" s="1">
        <v>26.02</v>
      </c>
      <c r="H30" s="1">
        <v>22.97</v>
      </c>
      <c r="I30" s="1">
        <v>29.8</v>
      </c>
      <c r="J30" s="1">
        <v>33.79</v>
      </c>
      <c r="K30" s="1">
        <v>30.4</v>
      </c>
      <c r="L30" s="1">
        <v>37.47</v>
      </c>
    </row>
    <row r="31" spans="2:12" ht="8.25" customHeight="1" x14ac:dyDescent="0.25">
      <c r="B31" s="29" t="s">
        <v>12</v>
      </c>
      <c r="C31" s="31">
        <v>2018</v>
      </c>
      <c r="D31" s="1">
        <v>21.82</v>
      </c>
      <c r="E31" s="1">
        <v>23.59</v>
      </c>
      <c r="F31" s="1">
        <v>19.86</v>
      </c>
      <c r="G31" s="1">
        <v>38.44</v>
      </c>
      <c r="H31" s="1">
        <v>41.18</v>
      </c>
      <c r="I31" s="1">
        <v>35.28</v>
      </c>
      <c r="J31" s="1">
        <v>14.77</v>
      </c>
      <c r="K31" s="1">
        <v>15.91</v>
      </c>
      <c r="L31" s="1">
        <v>13.54</v>
      </c>
    </row>
    <row r="32" spans="2:12" ht="8.25" customHeight="1" x14ac:dyDescent="0.25">
      <c r="B32" s="30" t="s">
        <v>13</v>
      </c>
      <c r="C32" s="32">
        <v>2018</v>
      </c>
      <c r="D32" s="1">
        <v>48.44</v>
      </c>
      <c r="E32" s="1">
        <v>50.1</v>
      </c>
      <c r="F32" s="1">
        <v>46.61</v>
      </c>
      <c r="G32" s="1">
        <v>36.17</v>
      </c>
      <c r="H32" s="1">
        <v>35.78</v>
      </c>
      <c r="I32" s="1">
        <v>36.61</v>
      </c>
      <c r="J32" s="1">
        <v>53.64</v>
      </c>
      <c r="K32" s="1">
        <v>56.34</v>
      </c>
      <c r="L32" s="1">
        <v>50.72</v>
      </c>
    </row>
    <row r="33" spans="2:12" ht="8.25" customHeight="1" x14ac:dyDescent="0.25">
      <c r="B33" s="29" t="s">
        <v>14</v>
      </c>
      <c r="C33" s="31">
        <v>2018</v>
      </c>
      <c r="D33" s="1">
        <v>29.74</v>
      </c>
      <c r="E33" s="1">
        <v>26.32</v>
      </c>
      <c r="F33" s="1">
        <v>33.520000000000003</v>
      </c>
      <c r="G33" s="1">
        <v>25.4</v>
      </c>
      <c r="H33" s="1">
        <v>23.04</v>
      </c>
      <c r="I33" s="1">
        <v>28.11</v>
      </c>
      <c r="J33" s="1">
        <v>31.58</v>
      </c>
      <c r="K33" s="1">
        <v>27.75</v>
      </c>
      <c r="L33" s="1">
        <v>35.74</v>
      </c>
    </row>
    <row r="34" spans="2:12" ht="8.25" customHeight="1" x14ac:dyDescent="0.25">
      <c r="B34" s="29" t="s">
        <v>12</v>
      </c>
      <c r="C34" s="31">
        <v>2017</v>
      </c>
      <c r="D34" s="1">
        <v>21.83</v>
      </c>
      <c r="E34" s="1">
        <v>23.47</v>
      </c>
      <c r="F34" s="1">
        <v>19.989999999999998</v>
      </c>
      <c r="G34" s="1">
        <v>36.369999999999997</v>
      </c>
      <c r="H34" s="1">
        <v>39.1</v>
      </c>
      <c r="I34" s="1">
        <v>33.03</v>
      </c>
      <c r="J34" s="1">
        <v>15.47</v>
      </c>
      <c r="K34" s="1">
        <v>16.23</v>
      </c>
      <c r="L34" s="1">
        <v>14.64</v>
      </c>
    </row>
    <row r="35" spans="2:12" ht="8.25" customHeight="1" x14ac:dyDescent="0.25">
      <c r="B35" s="30" t="s">
        <v>13</v>
      </c>
      <c r="C35" s="31">
        <v>2017</v>
      </c>
      <c r="D35" s="1">
        <v>49.19</v>
      </c>
      <c r="E35" s="1">
        <v>50.81</v>
      </c>
      <c r="F35" s="1">
        <v>47.38</v>
      </c>
      <c r="G35" s="1">
        <v>39.159999999999997</v>
      </c>
      <c r="H35" s="1">
        <v>38.630000000000003</v>
      </c>
      <c r="I35" s="1">
        <v>39.79</v>
      </c>
      <c r="J35" s="1">
        <v>53.59</v>
      </c>
      <c r="K35" s="1">
        <v>56.45</v>
      </c>
      <c r="L35" s="1">
        <v>50.49</v>
      </c>
    </row>
    <row r="36" spans="2:12" ht="8.25" customHeight="1" x14ac:dyDescent="0.25">
      <c r="B36" s="29" t="s">
        <v>14</v>
      </c>
      <c r="C36" s="31">
        <v>2017</v>
      </c>
      <c r="D36" s="1">
        <v>28.98</v>
      </c>
      <c r="E36" s="1">
        <v>25.72</v>
      </c>
      <c r="F36" s="1">
        <v>32.630000000000003</v>
      </c>
      <c r="G36" s="1">
        <v>24.48</v>
      </c>
      <c r="H36" s="1">
        <v>22.26</v>
      </c>
      <c r="I36" s="1">
        <v>27.18</v>
      </c>
      <c r="J36" s="1">
        <v>30.95</v>
      </c>
      <c r="K36" s="1">
        <v>27.32</v>
      </c>
      <c r="L36" s="1">
        <v>34.869999999999997</v>
      </c>
    </row>
    <row r="37" spans="2:12" ht="8.25" customHeight="1" x14ac:dyDescent="0.25">
      <c r="B37" s="29" t="s">
        <v>12</v>
      </c>
      <c r="C37" s="31">
        <v>2016</v>
      </c>
      <c r="D37" s="1">
        <v>22.14</v>
      </c>
      <c r="E37" s="1">
        <v>23.92</v>
      </c>
      <c r="F37" s="1">
        <v>20.149999999999999</v>
      </c>
      <c r="G37" s="1">
        <v>38.9</v>
      </c>
      <c r="H37" s="1">
        <v>40.369999999999997</v>
      </c>
      <c r="I37" s="1">
        <v>37.090000000000003</v>
      </c>
      <c r="J37" s="1">
        <v>16.14</v>
      </c>
      <c r="K37" s="1">
        <v>17.64</v>
      </c>
      <c r="L37" s="1">
        <v>14.54</v>
      </c>
    </row>
    <row r="38" spans="2:12" ht="8.25" customHeight="1" x14ac:dyDescent="0.25">
      <c r="B38" s="30" t="s">
        <v>13</v>
      </c>
      <c r="C38" s="31">
        <v>2016</v>
      </c>
      <c r="D38" s="1">
        <v>50.52</v>
      </c>
      <c r="E38" s="1">
        <v>51.29</v>
      </c>
      <c r="F38" s="1">
        <v>49.65</v>
      </c>
      <c r="G38" s="1">
        <v>37.78</v>
      </c>
      <c r="H38" s="1">
        <v>37.340000000000003</v>
      </c>
      <c r="I38" s="1">
        <v>38.32</v>
      </c>
      <c r="J38" s="1">
        <v>55.07</v>
      </c>
      <c r="K38" s="1">
        <v>56.62</v>
      </c>
      <c r="L38" s="1">
        <v>53.41</v>
      </c>
    </row>
    <row r="39" spans="2:12" ht="8.25" customHeight="1" x14ac:dyDescent="0.25">
      <c r="B39" s="29" t="s">
        <v>14</v>
      </c>
      <c r="C39" s="31">
        <v>2016</v>
      </c>
      <c r="D39" s="1">
        <v>27.35</v>
      </c>
      <c r="E39" s="1">
        <v>24.79</v>
      </c>
      <c r="F39" s="1">
        <v>30.2</v>
      </c>
      <c r="G39" s="1">
        <v>23.32</v>
      </c>
      <c r="H39" s="1">
        <v>22.3</v>
      </c>
      <c r="I39" s="1">
        <v>24.59</v>
      </c>
      <c r="J39" s="1">
        <v>28.78</v>
      </c>
      <c r="K39" s="1">
        <v>25.74</v>
      </c>
      <c r="L39" s="1">
        <v>32.06</v>
      </c>
    </row>
    <row r="40" spans="2:12" ht="8.25" customHeight="1" x14ac:dyDescent="0.25">
      <c r="B40" s="29" t="s">
        <v>12</v>
      </c>
      <c r="C40" s="31">
        <v>2015</v>
      </c>
      <c r="D40" s="1">
        <v>19.34</v>
      </c>
      <c r="E40" s="1">
        <v>20.13</v>
      </c>
      <c r="F40" s="1">
        <v>18.510000000000002</v>
      </c>
      <c r="G40" s="1">
        <v>35.28</v>
      </c>
      <c r="H40" s="1">
        <v>34.89</v>
      </c>
      <c r="I40" s="1">
        <v>35.659999999999997</v>
      </c>
      <c r="J40" s="1">
        <v>14.59</v>
      </c>
      <c r="K40" s="1">
        <v>15.87</v>
      </c>
      <c r="L40" s="1">
        <v>13.22</v>
      </c>
    </row>
    <row r="41" spans="2:12" ht="8.25" customHeight="1" x14ac:dyDescent="0.25">
      <c r="B41" s="30" t="s">
        <v>13</v>
      </c>
      <c r="C41" s="31">
        <v>2015</v>
      </c>
      <c r="D41" s="1">
        <v>51.57</v>
      </c>
      <c r="E41" s="1">
        <v>53.84</v>
      </c>
      <c r="F41" s="1">
        <v>49.21</v>
      </c>
      <c r="G41" s="1">
        <v>41.94</v>
      </c>
      <c r="H41" s="1">
        <v>45.3</v>
      </c>
      <c r="I41" s="1">
        <v>38.6</v>
      </c>
      <c r="J41" s="1">
        <v>54.45</v>
      </c>
      <c r="K41" s="1">
        <v>56.3</v>
      </c>
      <c r="L41" s="1">
        <v>52.48</v>
      </c>
    </row>
    <row r="42" spans="2:12" ht="8.25" customHeight="1" x14ac:dyDescent="0.25">
      <c r="B42" s="29" t="s">
        <v>14</v>
      </c>
      <c r="C42" s="31">
        <v>2015</v>
      </c>
      <c r="D42" s="1">
        <v>29.08</v>
      </c>
      <c r="E42" s="1">
        <v>26.03</v>
      </c>
      <c r="F42" s="1">
        <v>32.28</v>
      </c>
      <c r="G42" s="1">
        <v>22.79</v>
      </c>
      <c r="H42" s="1">
        <v>19.82</v>
      </c>
      <c r="I42" s="1">
        <v>25.74</v>
      </c>
      <c r="J42" s="1">
        <v>30.96</v>
      </c>
      <c r="K42" s="1">
        <v>27.82</v>
      </c>
      <c r="L42" s="1">
        <v>34.299999999999997</v>
      </c>
    </row>
    <row r="43" spans="2:12" ht="8.25" customHeight="1" x14ac:dyDescent="0.25">
      <c r="B43" s="29" t="s">
        <v>12</v>
      </c>
      <c r="C43" s="31">
        <v>2014</v>
      </c>
      <c r="D43" s="1">
        <v>19.53</v>
      </c>
      <c r="E43" s="1">
        <v>20.100000000000001</v>
      </c>
      <c r="F43" s="1">
        <v>18.940000000000001</v>
      </c>
      <c r="G43" s="1">
        <v>34.82</v>
      </c>
      <c r="H43" s="1">
        <v>34.54</v>
      </c>
      <c r="I43" s="1">
        <v>35.1</v>
      </c>
      <c r="J43" s="1">
        <v>14.99</v>
      </c>
      <c r="K43" s="1">
        <v>15.81</v>
      </c>
      <c r="L43" s="1">
        <v>14.14</v>
      </c>
    </row>
    <row r="44" spans="2:12" ht="8.25" customHeight="1" x14ac:dyDescent="0.25">
      <c r="B44" s="30" t="s">
        <v>13</v>
      </c>
      <c r="C44" s="31">
        <v>2014</v>
      </c>
      <c r="D44" s="1">
        <v>53.93</v>
      </c>
      <c r="E44" s="1">
        <v>55.86</v>
      </c>
      <c r="F44" s="1">
        <v>51.96</v>
      </c>
      <c r="G44" s="1">
        <v>43.53</v>
      </c>
      <c r="H44" s="1">
        <v>46.49</v>
      </c>
      <c r="I44" s="1">
        <v>40.51</v>
      </c>
      <c r="J44" s="1">
        <v>57.02</v>
      </c>
      <c r="K44" s="1">
        <v>58.63</v>
      </c>
      <c r="L44" s="1">
        <v>55.36</v>
      </c>
    </row>
    <row r="45" spans="2:12" ht="8.25" customHeight="1" x14ac:dyDescent="0.25">
      <c r="B45" s="29" t="s">
        <v>14</v>
      </c>
      <c r="C45" s="31">
        <v>2014</v>
      </c>
      <c r="D45" s="1">
        <v>26.54</v>
      </c>
      <c r="E45" s="1">
        <v>24.05</v>
      </c>
      <c r="F45" s="1">
        <v>29.1</v>
      </c>
      <c r="G45" s="1">
        <v>21.65</v>
      </c>
      <c r="H45" s="1">
        <v>18.97</v>
      </c>
      <c r="I45" s="1">
        <v>24.39</v>
      </c>
      <c r="J45" s="1">
        <v>27.99</v>
      </c>
      <c r="K45" s="1">
        <v>25.55</v>
      </c>
      <c r="L45" s="1">
        <v>30.5</v>
      </c>
    </row>
    <row r="46" spans="2:12" ht="8.25" customHeight="1" x14ac:dyDescent="0.25">
      <c r="B46" s="29" t="s">
        <v>12</v>
      </c>
      <c r="C46" s="31">
        <v>2013</v>
      </c>
      <c r="D46" s="1">
        <v>19.95</v>
      </c>
      <c r="E46" s="1">
        <v>20.03</v>
      </c>
      <c r="F46" s="1">
        <v>19.86</v>
      </c>
      <c r="G46" s="1">
        <v>33.85</v>
      </c>
      <c r="H46" s="1">
        <v>32.409999999999997</v>
      </c>
      <c r="I46" s="1">
        <v>35.22</v>
      </c>
      <c r="J46" s="1">
        <v>15.73</v>
      </c>
      <c r="K46" s="1">
        <v>16.399999999999999</v>
      </c>
      <c r="L46" s="1">
        <v>15.04</v>
      </c>
    </row>
    <row r="47" spans="2:12" ht="8.25" customHeight="1" x14ac:dyDescent="0.25">
      <c r="B47" s="30" t="s">
        <v>13</v>
      </c>
      <c r="C47" s="31">
        <v>2013</v>
      </c>
      <c r="D47" s="1">
        <v>55.79</v>
      </c>
      <c r="E47" s="1">
        <v>56.53</v>
      </c>
      <c r="F47" s="1">
        <v>55.05</v>
      </c>
      <c r="G47" s="1">
        <v>45.58</v>
      </c>
      <c r="H47" s="1">
        <v>48.37</v>
      </c>
      <c r="I47" s="1">
        <v>42.93</v>
      </c>
      <c r="J47" s="1">
        <v>58.89</v>
      </c>
      <c r="K47" s="1">
        <v>58.93</v>
      </c>
      <c r="L47" s="1">
        <v>58.85</v>
      </c>
    </row>
    <row r="48" spans="2:12" ht="8.25" customHeight="1" x14ac:dyDescent="0.25">
      <c r="B48" s="29" t="s">
        <v>14</v>
      </c>
      <c r="C48" s="31">
        <v>2013</v>
      </c>
      <c r="D48" s="1">
        <v>24.26</v>
      </c>
      <c r="E48" s="1">
        <v>23.43</v>
      </c>
      <c r="F48" s="1">
        <v>25.09</v>
      </c>
      <c r="G48" s="1">
        <v>20.57</v>
      </c>
      <c r="H48" s="1">
        <v>19.22</v>
      </c>
      <c r="I48" s="1">
        <v>21.86</v>
      </c>
      <c r="J48" s="1">
        <v>25.38</v>
      </c>
      <c r="K48" s="1">
        <v>24.67</v>
      </c>
      <c r="L48" s="1">
        <v>26.11</v>
      </c>
    </row>
    <row r="49" spans="2:12" ht="8.25" customHeight="1" x14ac:dyDescent="0.25">
      <c r="B49" s="29" t="s">
        <v>12</v>
      </c>
      <c r="C49" s="31">
        <v>2012</v>
      </c>
      <c r="D49" s="1">
        <v>19.93</v>
      </c>
      <c r="E49" s="1">
        <v>20.059999999999999</v>
      </c>
      <c r="F49" s="1">
        <v>19.8</v>
      </c>
      <c r="G49" s="1">
        <v>37.549999999999997</v>
      </c>
      <c r="H49" s="1">
        <v>35.11</v>
      </c>
      <c r="I49" s="1">
        <v>39.840000000000003</v>
      </c>
      <c r="J49" s="1">
        <v>14.73</v>
      </c>
      <c r="K49" s="1">
        <v>15.78</v>
      </c>
      <c r="L49" s="1">
        <v>13.67</v>
      </c>
    </row>
    <row r="50" spans="2:12" ht="8.25" customHeight="1" x14ac:dyDescent="0.25">
      <c r="B50" s="30" t="s">
        <v>13</v>
      </c>
      <c r="C50" s="31">
        <v>2012</v>
      </c>
      <c r="D50" s="1">
        <v>55.69</v>
      </c>
      <c r="E50" s="1">
        <v>56.79</v>
      </c>
      <c r="F50" s="1">
        <v>54.6</v>
      </c>
      <c r="G50" s="1">
        <v>44.77</v>
      </c>
      <c r="H50" s="1">
        <v>49.01</v>
      </c>
      <c r="I50" s="1">
        <v>40.79</v>
      </c>
      <c r="J50" s="1">
        <v>58.91</v>
      </c>
      <c r="K50" s="1">
        <v>59</v>
      </c>
      <c r="L50" s="1">
        <v>58.82</v>
      </c>
    </row>
    <row r="51" spans="2:12" ht="8.25" customHeight="1" x14ac:dyDescent="0.25">
      <c r="B51" s="29" t="s">
        <v>14</v>
      </c>
      <c r="C51" s="31">
        <v>2012</v>
      </c>
      <c r="D51" s="1">
        <v>24.38</v>
      </c>
      <c r="E51" s="1">
        <v>23.15</v>
      </c>
      <c r="F51" s="1">
        <v>25.6</v>
      </c>
      <c r="G51" s="1">
        <v>17.68</v>
      </c>
      <c r="H51" s="1">
        <v>15.88</v>
      </c>
      <c r="I51" s="1">
        <v>19.37</v>
      </c>
      <c r="J51" s="1">
        <v>26.36</v>
      </c>
      <c r="K51" s="1">
        <v>25.22</v>
      </c>
      <c r="L51" s="1">
        <v>27.51</v>
      </c>
    </row>
    <row r="52" spans="2:12" ht="8.25" customHeight="1" x14ac:dyDescent="0.25">
      <c r="B52" s="29" t="s">
        <v>12</v>
      </c>
      <c r="C52" s="31">
        <v>2011</v>
      </c>
      <c r="D52" s="1">
        <v>19.59</v>
      </c>
      <c r="E52" s="1">
        <v>20.45</v>
      </c>
      <c r="F52" s="1">
        <v>18.73</v>
      </c>
      <c r="G52" s="1">
        <v>36.04</v>
      </c>
      <c r="H52" s="1">
        <v>35.869999999999997</v>
      </c>
      <c r="I52" s="1">
        <v>36.21</v>
      </c>
      <c r="J52" s="1">
        <v>14.82</v>
      </c>
      <c r="K52" s="1">
        <v>15.94</v>
      </c>
      <c r="L52" s="1">
        <v>13.71</v>
      </c>
    </row>
    <row r="53" spans="2:12" ht="8.25" customHeight="1" x14ac:dyDescent="0.25">
      <c r="B53" s="30" t="s">
        <v>13</v>
      </c>
      <c r="C53" s="31">
        <v>2011</v>
      </c>
      <c r="D53" s="1">
        <v>57.59</v>
      </c>
      <c r="E53" s="1">
        <v>58.22</v>
      </c>
      <c r="F53" s="1">
        <v>56.97</v>
      </c>
      <c r="G53" s="1">
        <v>46.69</v>
      </c>
      <c r="H53" s="1">
        <v>47.69</v>
      </c>
      <c r="I53" s="1">
        <v>45.69</v>
      </c>
      <c r="J53" s="1">
        <v>60.75</v>
      </c>
      <c r="K53" s="1">
        <v>61.29</v>
      </c>
      <c r="L53" s="1">
        <v>60.21</v>
      </c>
    </row>
    <row r="54" spans="2:12" ht="8.25" customHeight="1" x14ac:dyDescent="0.25">
      <c r="B54" s="29" t="s">
        <v>14</v>
      </c>
      <c r="C54" s="31">
        <v>2011</v>
      </c>
      <c r="D54" s="1">
        <v>22.82</v>
      </c>
      <c r="E54" s="1">
        <v>21.33</v>
      </c>
      <c r="F54" s="1">
        <v>24.3</v>
      </c>
      <c r="G54" s="1">
        <v>17.27</v>
      </c>
      <c r="H54" s="1">
        <v>16.440000000000001</v>
      </c>
      <c r="I54" s="1">
        <v>18.100000000000001</v>
      </c>
      <c r="J54" s="1">
        <v>24.43</v>
      </c>
      <c r="K54" s="1">
        <v>22.76</v>
      </c>
      <c r="L54" s="1">
        <v>26.08</v>
      </c>
    </row>
    <row r="55" spans="2:12" ht="8.25" customHeight="1" x14ac:dyDescent="0.25">
      <c r="B55" s="29" t="s">
        <v>12</v>
      </c>
      <c r="C55" s="31">
        <v>2005</v>
      </c>
      <c r="D55" s="33">
        <v>24.154445420999647</v>
      </c>
      <c r="E55" s="33">
        <v>22.719256399342001</v>
      </c>
      <c r="F55" s="33">
        <v>25.605238235645007</v>
      </c>
      <c r="G55" s="33">
        <v>46.854783333813693</v>
      </c>
      <c r="H55" s="33">
        <v>44.052614648999509</v>
      </c>
      <c r="I55" s="33">
        <v>49.656039210780335</v>
      </c>
      <c r="J55" s="33">
        <v>17.627766561885203</v>
      </c>
      <c r="K55" s="33">
        <v>16.629289494749859</v>
      </c>
      <c r="L55" s="33">
        <v>18.640340941561153</v>
      </c>
    </row>
    <row r="56" spans="2:12" ht="8.25" customHeight="1" x14ac:dyDescent="0.25">
      <c r="B56" s="30" t="s">
        <v>13</v>
      </c>
      <c r="C56" s="32">
        <v>2005</v>
      </c>
      <c r="D56" s="33">
        <v>58.914561886160612</v>
      </c>
      <c r="E56" s="33">
        <v>59.518557467873897</v>
      </c>
      <c r="F56" s="33">
        <v>58.303993447658122</v>
      </c>
      <c r="G56" s="33">
        <v>41.525124849172229</v>
      </c>
      <c r="H56" s="33">
        <v>45.554934551604795</v>
      </c>
      <c r="I56" s="33">
        <v>37.49662785926138</v>
      </c>
      <c r="J56" s="33">
        <v>63.914275570680147</v>
      </c>
      <c r="K56" s="33">
        <v>63.504708417191956</v>
      </c>
      <c r="L56" s="33">
        <v>64.329620974211139</v>
      </c>
    </row>
    <row r="57" spans="2:12" ht="8.25" customHeight="1" x14ac:dyDescent="0.25">
      <c r="B57" s="29" t="s">
        <v>14</v>
      </c>
      <c r="C57" s="31">
        <v>2005</v>
      </c>
      <c r="D57" s="33">
        <v>16.930992692839745</v>
      </c>
      <c r="E57" s="33">
        <v>17.762186132784088</v>
      </c>
      <c r="F57" s="33">
        <v>16.090768316696874</v>
      </c>
      <c r="G57" s="33">
        <v>11.620091817014073</v>
      </c>
      <c r="H57" s="33">
        <v>10.392450799395696</v>
      </c>
      <c r="I57" s="33">
        <v>12.847332929958288</v>
      </c>
      <c r="J57" s="33">
        <v>18.457957867434651</v>
      </c>
      <c r="K57" s="33">
        <v>19.866002088058185</v>
      </c>
      <c r="L57" s="33">
        <v>17.030038084227709</v>
      </c>
    </row>
    <row r="58" spans="2:12" x14ac:dyDescent="0.25">
      <c r="B58" s="6"/>
      <c r="C58" s="7"/>
      <c r="D58" s="7"/>
      <c r="E58" s="7"/>
      <c r="F58" s="7"/>
      <c r="G58" s="7"/>
      <c r="H58" s="7"/>
      <c r="I58" s="7"/>
      <c r="J58" s="7"/>
    </row>
    <row r="59" spans="2:12" x14ac:dyDescent="0.25">
      <c r="B59" s="34" t="s">
        <v>15</v>
      </c>
      <c r="C59" s="30"/>
      <c r="D59" s="30"/>
      <c r="E59" s="30"/>
      <c r="F59" s="30"/>
      <c r="G59" s="30"/>
      <c r="H59" s="30"/>
      <c r="I59" s="30"/>
      <c r="J59" s="30"/>
      <c r="K59" s="30"/>
      <c r="L59" s="30"/>
    </row>
    <row r="60" spans="2:12" x14ac:dyDescent="0.25">
      <c r="B60" s="35" t="s">
        <v>16</v>
      </c>
      <c r="C60" s="35"/>
      <c r="D60" s="35"/>
      <c r="E60" s="35"/>
      <c r="F60" s="35"/>
      <c r="G60" s="35"/>
      <c r="H60" s="35"/>
      <c r="I60" s="35"/>
      <c r="J60" s="35"/>
      <c r="K60" s="35"/>
      <c r="L60" s="35"/>
    </row>
    <row r="61" spans="2:12" x14ac:dyDescent="0.25">
      <c r="B61" s="35" t="s">
        <v>17</v>
      </c>
      <c r="C61" s="35"/>
      <c r="D61" s="35"/>
      <c r="E61" s="35"/>
      <c r="F61" s="35"/>
      <c r="G61" s="35"/>
      <c r="H61" s="35"/>
      <c r="I61" s="35"/>
      <c r="J61" s="35"/>
      <c r="K61" s="35"/>
      <c r="L61" s="35"/>
    </row>
    <row r="62" spans="2:12" x14ac:dyDescent="0.25">
      <c r="B62" s="35" t="s">
        <v>18</v>
      </c>
      <c r="C62" s="35"/>
      <c r="D62" s="35"/>
      <c r="E62" s="35"/>
      <c r="F62" s="35"/>
      <c r="G62" s="35"/>
      <c r="H62" s="35"/>
      <c r="I62" s="35"/>
      <c r="J62" s="35"/>
      <c r="K62" s="35"/>
      <c r="L62" s="35"/>
    </row>
    <row r="63" spans="2:12" x14ac:dyDescent="0.25">
      <c r="B63" s="36" t="s">
        <v>19</v>
      </c>
      <c r="C63" s="37"/>
      <c r="D63" s="37"/>
      <c r="E63" s="37"/>
      <c r="F63" s="37"/>
      <c r="G63" s="37"/>
      <c r="H63" s="37"/>
      <c r="I63" s="37"/>
      <c r="J63" s="37"/>
      <c r="K63" s="37"/>
      <c r="L63" s="37"/>
    </row>
    <row r="64" spans="2:12" x14ac:dyDescent="0.25">
      <c r="B64" s="37"/>
      <c r="C64" s="37"/>
      <c r="D64" s="37"/>
      <c r="E64" s="37"/>
      <c r="F64" s="37"/>
      <c r="G64" s="37"/>
      <c r="H64" s="37"/>
      <c r="I64" s="37"/>
      <c r="J64" s="37"/>
      <c r="K64" s="37"/>
      <c r="L64" s="37"/>
    </row>
    <row r="65" spans="2:12" x14ac:dyDescent="0.25">
      <c r="B65" s="37" t="s">
        <v>20</v>
      </c>
      <c r="C65" s="37"/>
      <c r="D65" s="37"/>
      <c r="E65" s="37"/>
      <c r="F65" s="37"/>
      <c r="G65" s="37"/>
      <c r="H65" s="37"/>
      <c r="I65" s="37"/>
      <c r="J65" s="37"/>
      <c r="K65" s="37"/>
      <c r="L65" s="37"/>
    </row>
    <row r="67" spans="2:12" x14ac:dyDescent="0.25">
      <c r="B67" s="38" t="s">
        <v>21</v>
      </c>
    </row>
    <row r="68" spans="2:12" x14ac:dyDescent="0.25">
      <c r="B68" s="38" t="s">
        <v>24</v>
      </c>
    </row>
    <row r="69" spans="2:12" x14ac:dyDescent="0.25">
      <c r="B69" s="38" t="s">
        <v>22</v>
      </c>
    </row>
    <row r="70" spans="2:12" x14ac:dyDescent="0.25">
      <c r="B70" s="36" t="s">
        <v>23</v>
      </c>
    </row>
  </sheetData>
  <mergeCells count="11">
    <mergeCell ref="B60:L60"/>
    <mergeCell ref="B61:L61"/>
    <mergeCell ref="B62:L62"/>
    <mergeCell ref="B6:B11"/>
    <mergeCell ref="C6:L6"/>
    <mergeCell ref="C7:C11"/>
    <mergeCell ref="D7:F9"/>
    <mergeCell ref="G7:L7"/>
    <mergeCell ref="G8:I9"/>
    <mergeCell ref="J8:L9"/>
    <mergeCell ref="D11:L11"/>
  </mergeCells>
  <hyperlinks>
    <hyperlink ref="B70" r:id="rId1" xr:uid="{1F083D2E-7197-442D-9B2B-CA748E077150}"/>
    <hyperlink ref="B63" r:id="rId2" xr:uid="{06DB9DB4-0DC0-4800-948D-8C5AC71934CA}"/>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Biester, Christoph, Dr. (LSN)</dc:creator>
  <cp:lastModifiedBy>Schlesier, Alexander (LSN)</cp:lastModifiedBy>
  <dcterms:created xsi:type="dcterms:W3CDTF">2025-06-23T09:45:35Z</dcterms:created>
  <dcterms:modified xsi:type="dcterms:W3CDTF">2026-06-23T04:49:14Z</dcterms:modified>
</cp:coreProperties>
</file>