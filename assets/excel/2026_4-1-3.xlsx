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DieseArbeitsmappe" defaultThemeVersion="166925"/>
  <mc:AlternateContent xmlns:mc="http://schemas.openxmlformats.org/markup-compatibility/2006">
    <mc:Choice Requires="x15">
      <x15ac:absPath xmlns:x15ac="http://schemas.microsoft.com/office/spreadsheetml/2010/11/ac" url="S:\Hannover\Dez15_Uebergreifende_Analysen\Projekte\Integrationsmonitoring\Schlesier\MT_Site\assets\excel\"/>
    </mc:Choice>
  </mc:AlternateContent>
  <xr:revisionPtr revIDLastSave="0" documentId="13_ncr:1_{7E2A45F1-061D-4118-8B8F-B131AAC48920}" xr6:coauthVersionLast="47" xr6:coauthVersionMax="47" xr10:uidLastSave="{00000000-0000-0000-0000-000000000000}"/>
  <bookViews>
    <workbookView xWindow="-120" yWindow="-120" windowWidth="29040" windowHeight="17520" xr2:uid="{95AE330F-3948-45C2-BEAB-3D17B9280608}"/>
  </bookViews>
  <sheets>
    <sheet name="Tabelle1" sheetId="1" r:id="rId1"/>
  </sheets>
  <externalReferences>
    <externalReference r:id="rId2"/>
  </externalReferences>
  <calcPr calcId="191029"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G70" i="1" l="1"/>
  <c r="F70" i="1"/>
  <c r="E70" i="1"/>
  <c r="G69" i="1"/>
  <c r="F69" i="1"/>
  <c r="E69" i="1"/>
  <c r="G68" i="1"/>
  <c r="F68" i="1"/>
  <c r="E68" i="1"/>
  <c r="G67" i="1"/>
  <c r="F67" i="1"/>
  <c r="E67" i="1"/>
  <c r="G66" i="1"/>
  <c r="F66" i="1"/>
  <c r="E66" i="1"/>
  <c r="G65" i="1"/>
  <c r="F65" i="1"/>
  <c r="E65" i="1"/>
  <c r="G64" i="1"/>
  <c r="F64" i="1"/>
  <c r="E64" i="1"/>
  <c r="G63" i="1"/>
  <c r="F63" i="1"/>
  <c r="E63" i="1"/>
  <c r="G62" i="1"/>
  <c r="F62" i="1"/>
  <c r="E62" i="1"/>
  <c r="G61" i="1"/>
  <c r="F61" i="1"/>
  <c r="E61" i="1"/>
  <c r="G60" i="1"/>
  <c r="F60" i="1"/>
  <c r="E60" i="1"/>
  <c r="G59" i="1"/>
  <c r="F59" i="1"/>
  <c r="E59" i="1"/>
  <c r="G58" i="1"/>
  <c r="F58" i="1"/>
  <c r="E58" i="1"/>
  <c r="G57" i="1"/>
  <c r="F57" i="1"/>
  <c r="E57" i="1"/>
  <c r="G56" i="1"/>
  <c r="F56" i="1"/>
  <c r="E56" i="1"/>
  <c r="G55" i="1"/>
  <c r="F55" i="1"/>
  <c r="E55" i="1"/>
  <c r="G54" i="1"/>
  <c r="F54" i="1"/>
  <c r="E54" i="1"/>
  <c r="G53" i="1"/>
  <c r="F53" i="1"/>
  <c r="E53" i="1"/>
  <c r="G52" i="1"/>
  <c r="F52" i="1"/>
  <c r="E52" i="1"/>
  <c r="G51" i="1"/>
  <c r="F51" i="1"/>
  <c r="E51" i="1"/>
  <c r="G50" i="1"/>
  <c r="F50" i="1"/>
  <c r="E50" i="1"/>
  <c r="G49" i="1"/>
  <c r="F49" i="1"/>
  <c r="E49" i="1"/>
  <c r="G48" i="1"/>
  <c r="F48" i="1"/>
  <c r="E48" i="1"/>
  <c r="G47" i="1"/>
  <c r="F47" i="1"/>
  <c r="E47" i="1"/>
  <c r="G46" i="1"/>
  <c r="F46" i="1"/>
  <c r="E46" i="1"/>
  <c r="G45" i="1"/>
  <c r="F45" i="1"/>
  <c r="E45" i="1"/>
  <c r="G44" i="1"/>
  <c r="F44" i="1"/>
  <c r="E44" i="1"/>
  <c r="G43" i="1"/>
  <c r="F43" i="1"/>
  <c r="E43" i="1"/>
  <c r="G42" i="1"/>
  <c r="F42" i="1"/>
  <c r="E42" i="1"/>
  <c r="G41" i="1"/>
  <c r="F41" i="1"/>
  <c r="E41" i="1"/>
  <c r="G40" i="1"/>
  <c r="F40" i="1"/>
  <c r="E40" i="1"/>
  <c r="G39" i="1"/>
  <c r="F39" i="1"/>
  <c r="E39" i="1"/>
  <c r="G38" i="1"/>
  <c r="F38" i="1"/>
  <c r="E38" i="1"/>
  <c r="G37" i="1"/>
  <c r="F37" i="1"/>
  <c r="E37" i="1"/>
  <c r="G36" i="1"/>
  <c r="F36" i="1"/>
  <c r="E36" i="1"/>
  <c r="G35" i="1"/>
  <c r="F35" i="1"/>
  <c r="E35" i="1"/>
  <c r="G34" i="1"/>
  <c r="F34" i="1"/>
  <c r="E34" i="1"/>
  <c r="G33" i="1"/>
  <c r="F33" i="1"/>
  <c r="E33" i="1"/>
  <c r="G32" i="1"/>
  <c r="F32" i="1"/>
  <c r="E32" i="1"/>
  <c r="G31" i="1"/>
  <c r="F31" i="1"/>
  <c r="E31" i="1"/>
  <c r="G30" i="1"/>
  <c r="F30" i="1"/>
  <c r="E30" i="1"/>
  <c r="G29" i="1"/>
  <c r="F29" i="1"/>
  <c r="E29" i="1"/>
  <c r="G28" i="1"/>
  <c r="F28" i="1"/>
  <c r="E28" i="1"/>
  <c r="G27" i="1"/>
  <c r="F27" i="1"/>
  <c r="E27" i="1"/>
  <c r="G26" i="1"/>
  <c r="F26" i="1"/>
  <c r="E26" i="1"/>
  <c r="G25" i="1"/>
  <c r="F25" i="1"/>
  <c r="E25" i="1"/>
  <c r="G24" i="1"/>
  <c r="F24" i="1"/>
  <c r="E24" i="1"/>
  <c r="G23" i="1"/>
  <c r="F23" i="1"/>
  <c r="E23" i="1"/>
  <c r="G22" i="1"/>
  <c r="F22" i="1"/>
  <c r="E22" i="1"/>
  <c r="G21" i="1"/>
  <c r="F21" i="1"/>
  <c r="E21" i="1"/>
  <c r="G20" i="1"/>
  <c r="F20" i="1"/>
  <c r="E20" i="1"/>
  <c r="G19" i="1"/>
  <c r="F19" i="1"/>
  <c r="E19" i="1"/>
  <c r="G18" i="1"/>
  <c r="F18" i="1"/>
  <c r="E18" i="1"/>
  <c r="G17" i="1"/>
  <c r="F17" i="1"/>
  <c r="E17" i="1"/>
  <c r="G16" i="1"/>
  <c r="F16" i="1"/>
  <c r="E16" i="1"/>
  <c r="G15" i="1"/>
  <c r="F15" i="1"/>
  <c r="E15" i="1"/>
  <c r="G14" i="1"/>
  <c r="F14" i="1"/>
  <c r="E14" i="1"/>
  <c r="G13" i="1"/>
  <c r="F13" i="1"/>
  <c r="E13" i="1"/>
  <c r="G12" i="1"/>
  <c r="F12" i="1"/>
  <c r="E12" i="1"/>
  <c r="G11" i="1"/>
  <c r="F11" i="1"/>
  <c r="E11" i="1"/>
</calcChain>
</file>

<file path=xl/sharedStrings.xml><?xml version="1.0" encoding="utf-8"?>
<sst xmlns="http://schemas.openxmlformats.org/spreadsheetml/2006/main" count="431" uniqueCount="30">
  <si>
    <t>Indikator 4.1.3: Höchster Schulabschluss an allgemeinbildenden Schulen nach Zuwanderungsgeschichte und Altersgruppen</t>
  </si>
  <si>
    <r>
      <t>Tabelle 4.1.3: Höchster Schulabschluss an allgemeinbildenden Schulen nach Zuwanderungsgeschichte und Altersgruppen</t>
    </r>
    <r>
      <rPr>
        <vertAlign val="superscript"/>
        <sz val="9"/>
        <rFont val="NDSFrutiger 55 Roman"/>
      </rPr>
      <t>4)</t>
    </r>
  </si>
  <si>
    <t>Altersgruppe
von … bis unter … Jahre</t>
  </si>
  <si>
    <t>Schulabschluss</t>
  </si>
  <si>
    <t>Jahr</t>
  </si>
  <si>
    <t>Insgesamt</t>
  </si>
  <si>
    <t>Migrationsstatus</t>
  </si>
  <si>
    <t>mit</t>
  </si>
  <si>
    <t>ohne</t>
  </si>
  <si>
    <t>Migrationshintergrund</t>
  </si>
  <si>
    <t>Prozent</t>
  </si>
  <si>
    <t>18 – 25</t>
  </si>
  <si>
    <t>Ohne Abschluss</t>
  </si>
  <si>
    <t>25 – 35</t>
  </si>
  <si>
    <t>15 – 65</t>
  </si>
  <si>
    <t>Hauptschulabschluss</t>
  </si>
  <si>
    <t>Realschulabschluss</t>
  </si>
  <si>
    <t>(Fach-)Hochschulreife</t>
  </si>
  <si>
    <t xml:space="preserve"> </t>
  </si>
  <si>
    <t xml:space="preserve">1) Hochrechnung anhand der Bevölkerungsfortschreibung auf Basis des Zensus 2011. Die Hochrechnung für die Jahre vor 2011 sowie für bislang veröffentlichte Ergebnisse des Mikrozensus 2011-2013 basiert auf den fortgeschriebenen Ergebnissen der Volkszählung 1987. In 2016 erfolgte die Umstellung auf eine neue Mikrozensus-Stichprobe. Ab 2017 wird nur noch die Bevölkerung in Privathaushalten (ohne Gemeinschaftsunterkünfte) ausgewiesen. Dadurch ergibt sich jeweils eine eingeschränkte Vergleichbarkeit mit den Vorjahren. </t>
  </si>
  <si>
    <t>2) Ohne Abschluss einschließlich Abschluss Förderschule</t>
  </si>
  <si>
    <t>3) Seit dem Jahr 2018 wird im Mikrozensus der Migrationshintergrund im weiteren Sinne jährlich berichtet. Die in der Tabelle ab dem Jahr 2018 abgebildeten Daten zum Migrationshintergrund entsprechen dem Migrationshintergrund im weiteren Sinne, bis 2017 wird der Migrationshintergrund im engeren Sinne abgebildet. Die Vergleichbarkeit ist dadurch eingeschränkt.</t>
  </si>
  <si>
    <t>4) Die Ergebnisse des Mikrozensus 2020 sind unter anderem aufgrund methodischer Effekte im Rahmen einer Neugestaltung der Erhebung sowie insbesondere aufgrund der Folgen der Corona-Pandemie in Ihrer Datenqualität eingeschränkt. Auf die Verwendung dieser Ergebnisse wird daher verzichtet. Weitere Informationen zur methodischen Neugestaltung des Mikrozensus ab 2020 und zu den Auswirkungen der Neugestaltung und der Corona-Krise auf die Ergebnisse des Jahres 2020 finden Sie auf der Informationsseite des Statistischen Bundesamtes:</t>
  </si>
  <si>
    <t>https://www.destatis.de/DE/Themen/Gesellschaft-Umwelt/Bevoelkerung/Haushalte-Familien/Methoden/mikrozensus-2020.html</t>
  </si>
  <si>
    <t>Quelle: Mikrozensus</t>
  </si>
  <si>
    <t>Niedersächsisches Ministerium für Soziales, Gesundheit und Gleichstellung (Hrsg.),</t>
  </si>
  <si>
    <t>Vervielfältigung und Verbreitung, auch auszugsweise, mit Quellenangabe gestattet.</t>
  </si>
  <si>
    <t>https://www.integrationsmonitoring.niedersachsen.de</t>
  </si>
  <si>
    <t>© Landesamt für Statistik Niedersachsen, Hannover 2026,                                                                        </t>
  </si>
  <si>
    <t>Migration und Teilhabe in Niedersachsen - Integrationsmonitoring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</si>
</sst>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
    <numFmt numFmtId="166" formatCode="\(0.0\)"/>
  </numFmts>
  <fonts count="10" x14ac:knownFonts="1">
    <font>
      <sz val="11"/>
      <color theme="1"/>
      <name val="Calibri"/>
      <family val="2"/>
      <scheme val="minor"/>
    </font>
    <font>
      <u/>
      <sz val="11"/>
      <color theme="10"/>
      <name val="Calibri"/>
      <family val="2"/>
      <scheme val="minor"/>
    </font>
    <font>
      <sz val="9"/>
      <name val="NDSFrutiger 55 Roman"/>
    </font>
    <font>
      <sz val="6"/>
      <color theme="1"/>
      <name val="NDSFrutiger 45 Light"/>
    </font>
    <font>
      <sz val="11"/>
      <name val="NDSFrutiger 55 Roman"/>
    </font>
    <font>
      <vertAlign val="superscript"/>
      <sz val="9"/>
      <name val="NDSFrutiger 55 Roman"/>
    </font>
    <font>
      <sz val="6"/>
      <name val="NDSFrutiger 45 Light"/>
    </font>
    <font>
      <sz val="6"/>
      <name val="Arial"/>
      <family val="2"/>
    </font>
    <font>
      <sz val="10"/>
      <name val="Arial"/>
      <family val="2"/>
    </font>
    <font>
      <u/>
      <sz val="6"/>
      <color theme="10"/>
      <name val="NDSFrutiger 45 Light"/>
    </font>
  </fonts>
  <fills count="2">
    <fill>
      <patternFill patternType="none"/>
    </fill>
    <fill>
      <patternFill patternType="gray125"/>
    </fill>
  </fills>
  <borders count="15">
    <border>
      <left/>
      <right/>
      <top/>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bottom/>
      <diagonal/>
    </border>
    <border>
      <left style="thin">
        <color indexed="64"/>
      </left>
      <right style="thin">
        <color indexed="64"/>
      </right>
      <top/>
      <bottom/>
      <diagonal/>
    </border>
    <border>
      <left style="thin">
        <color indexed="64"/>
      </left>
      <right/>
      <top/>
      <bottom/>
      <diagonal/>
    </border>
    <border>
      <left/>
      <right/>
      <top style="thin">
        <color indexed="64"/>
      </top>
      <bottom/>
      <diagonal/>
    </border>
    <border>
      <left style="thin">
        <color indexed="64"/>
      </left>
      <right/>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right/>
      <top/>
      <bottom style="thin">
        <color indexed="64"/>
      </bottom>
      <diagonal/>
    </border>
  </borders>
  <cellStyleXfs count="3">
    <xf numFmtId="0" fontId="0" fillId="0" borderId="0"/>
    <xf numFmtId="0" fontId="1" fillId="0" borderId="0" applyNumberFormat="0" applyFill="0" applyBorder="0" applyAlignment="0" applyProtection="0"/>
    <xf numFmtId="0" fontId="8" fillId="0" borderId="0"/>
  </cellStyleXfs>
  <cellXfs count="58">
    <xf numFmtId="0" fontId="0" fillId="0" borderId="0" xfId="0"/>
    <xf numFmtId="0" fontId="2" fillId="0" borderId="0" xfId="0" applyFont="1"/>
    <xf numFmtId="0" fontId="3" fillId="0" borderId="0" xfId="0" applyFont="1" applyAlignment="1">
      <alignment horizontal="right"/>
    </xf>
    <xf numFmtId="0" fontId="4" fillId="0" borderId="0" xfId="0" applyFont="1" applyAlignment="1" applyProtection="1">
      <alignment vertical="center"/>
      <protection locked="0"/>
    </xf>
    <xf numFmtId="0" fontId="0" fillId="0" borderId="0" xfId="0" applyAlignment="1" applyProtection="1">
      <alignment horizontal="right"/>
      <protection locked="0"/>
    </xf>
    <xf numFmtId="0" fontId="0" fillId="0" borderId="0" xfId="0" applyProtection="1">
      <protection locked="0"/>
    </xf>
    <xf numFmtId="0" fontId="2" fillId="0" borderId="0" xfId="0" applyFont="1" applyAlignment="1">
      <alignment vertical="center"/>
    </xf>
    <xf numFmtId="0" fontId="2" fillId="0" borderId="0" xfId="0" applyFont="1" applyAlignment="1">
      <alignment horizontal="right" vertical="center"/>
    </xf>
    <xf numFmtId="0" fontId="6" fillId="0" borderId="2" xfId="0" applyFont="1" applyBorder="1" applyAlignment="1">
      <alignment horizontal="center" vertical="center" wrapText="1"/>
    </xf>
    <xf numFmtId="0" fontId="6" fillId="0" borderId="9" xfId="0" applyFont="1" applyBorder="1" applyAlignment="1">
      <alignment horizontal="center" vertical="center" wrapText="1"/>
    </xf>
    <xf numFmtId="0" fontId="6" fillId="0" borderId="0" xfId="0" applyFont="1" applyAlignment="1">
      <alignment horizontal="center" vertical="center" wrapText="1"/>
    </xf>
    <xf numFmtId="0" fontId="3" fillId="0" borderId="0" xfId="0" applyFont="1" applyAlignment="1">
      <alignment horizontal="right" vertical="center"/>
    </xf>
    <xf numFmtId="0" fontId="3" fillId="0" borderId="0" xfId="0" applyFont="1" applyAlignment="1">
      <alignment horizontal="center" vertical="center"/>
    </xf>
    <xf numFmtId="0" fontId="6" fillId="0" borderId="0" xfId="0" applyFont="1" applyFill="1" applyAlignment="1">
      <alignment vertical="center" wrapText="1"/>
    </xf>
    <xf numFmtId="0" fontId="3" fillId="0" borderId="0" xfId="0" applyFont="1" applyFill="1" applyAlignment="1">
      <alignment horizontal="right" vertical="center"/>
    </xf>
    <xf numFmtId="164" fontId="3" fillId="0" borderId="0" xfId="0" applyNumberFormat="1" applyFont="1" applyFill="1" applyAlignment="1">
      <alignment horizontal="right" vertical="center"/>
    </xf>
    <xf numFmtId="164" fontId="6" fillId="0" borderId="0" xfId="0" applyNumberFormat="1" applyFont="1" applyFill="1" applyAlignment="1">
      <alignment vertical="center" wrapText="1"/>
    </xf>
    <xf numFmtId="164" fontId="3" fillId="0" borderId="0" xfId="0" applyNumberFormat="1" applyFont="1" applyFill="1" applyAlignment="1">
      <alignment vertical="center"/>
    </xf>
    <xf numFmtId="164" fontId="6" fillId="0" borderId="0" xfId="0" applyNumberFormat="1" applyFont="1" applyFill="1" applyAlignment="1">
      <alignment horizontal="right" vertical="top" wrapText="1"/>
    </xf>
    <xf numFmtId="164" fontId="6" fillId="0" borderId="0" xfId="0" applyNumberFormat="1" applyFont="1" applyFill="1" applyAlignment="1">
      <alignment horizontal="right" vertical="center" wrapText="1"/>
    </xf>
    <xf numFmtId="165" fontId="6" fillId="0" borderId="0" xfId="0" applyNumberFormat="1" applyFont="1" applyFill="1" applyAlignment="1">
      <alignment horizontal="right" vertical="center" wrapText="1"/>
    </xf>
    <xf numFmtId="166" fontId="6" fillId="0" borderId="0" xfId="0" applyNumberFormat="1" applyFont="1" applyFill="1" applyAlignment="1">
      <alignment horizontal="right" vertical="center" wrapText="1"/>
    </xf>
    <xf numFmtId="0" fontId="6" fillId="0" borderId="1" xfId="0" applyFont="1" applyBorder="1" applyAlignment="1">
      <alignment horizontal="center" vertical="center" wrapText="1"/>
    </xf>
    <xf numFmtId="0" fontId="6" fillId="0" borderId="6" xfId="0" applyFont="1" applyBorder="1" applyAlignment="1">
      <alignment horizontal="center" vertical="center" wrapText="1"/>
    </xf>
    <xf numFmtId="0" fontId="6" fillId="0" borderId="12" xfId="0" applyFont="1" applyBorder="1" applyAlignment="1">
      <alignment horizontal="center" vertical="center" wrapText="1"/>
    </xf>
    <xf numFmtId="0" fontId="6" fillId="0" borderId="2" xfId="0" applyFont="1" applyBorder="1" applyAlignment="1">
      <alignment horizontal="center" vertical="center" wrapText="1"/>
    </xf>
    <xf numFmtId="0" fontId="6" fillId="0" borderId="7" xfId="0" applyFont="1" applyBorder="1" applyAlignment="1">
      <alignment horizontal="center" vertical="center" wrapText="1"/>
    </xf>
    <xf numFmtId="0" fontId="6" fillId="0" borderId="13" xfId="0" applyFont="1" applyBorder="1" applyAlignment="1">
      <alignment horizontal="center" vertical="center" wrapText="1"/>
    </xf>
    <xf numFmtId="0" fontId="3" fillId="0" borderId="3" xfId="0" applyFont="1" applyBorder="1" applyAlignment="1">
      <alignment horizontal="center" vertical="center"/>
    </xf>
    <xf numFmtId="0" fontId="3" fillId="0" borderId="8" xfId="0" applyFont="1" applyBorder="1" applyAlignment="1">
      <alignment horizontal="center" vertical="center"/>
    </xf>
    <xf numFmtId="0" fontId="3" fillId="0" borderId="10" xfId="0" applyFont="1" applyBorder="1" applyAlignment="1">
      <alignment horizontal="center" vertical="center"/>
    </xf>
    <xf numFmtId="0" fontId="6" fillId="0" borderId="3" xfId="0" applyFont="1" applyBorder="1" applyAlignment="1">
      <alignment horizontal="center" vertical="center" wrapText="1"/>
    </xf>
    <xf numFmtId="0" fontId="6" fillId="0" borderId="8" xfId="0" applyFont="1" applyBorder="1" applyAlignment="1">
      <alignment horizontal="center" vertical="center" wrapText="1"/>
    </xf>
    <xf numFmtId="0" fontId="6" fillId="0" borderId="10" xfId="0" applyFont="1" applyBorder="1" applyAlignment="1">
      <alignment horizontal="center" vertical="center" wrapText="1"/>
    </xf>
    <xf numFmtId="0" fontId="6" fillId="0" borderId="4" xfId="0" applyFont="1" applyBorder="1" applyAlignment="1">
      <alignment horizontal="center" vertical="center" wrapText="1"/>
    </xf>
    <xf numFmtId="0" fontId="6" fillId="0" borderId="5" xfId="0" applyFont="1" applyBorder="1" applyAlignment="1">
      <alignment horizontal="center" vertical="center" wrapText="1"/>
    </xf>
    <xf numFmtId="0" fontId="6" fillId="0" borderId="11" xfId="0" applyFont="1" applyBorder="1" applyAlignment="1">
      <alignment horizontal="center" vertical="center" wrapText="1"/>
    </xf>
    <xf numFmtId="0" fontId="3" fillId="0" borderId="4" xfId="0" applyFont="1" applyBorder="1" applyAlignment="1">
      <alignment horizontal="center" vertical="center"/>
    </xf>
    <xf numFmtId="0" fontId="3" fillId="0" borderId="5" xfId="0" applyFont="1" applyBorder="1" applyAlignment="1">
      <alignment horizontal="center" vertical="center"/>
    </xf>
    <xf numFmtId="0" fontId="0" fillId="0" borderId="0" xfId="0" applyFill="1"/>
    <xf numFmtId="0" fontId="0" fillId="0" borderId="0" xfId="0" applyFill="1" applyAlignment="1">
      <alignment vertical="center"/>
    </xf>
    <xf numFmtId="164" fontId="6" fillId="0" borderId="0" xfId="0" applyNumberFormat="1" applyFont="1" applyFill="1" applyAlignment="1">
      <alignment horizontal="left" vertical="center" wrapText="1"/>
    </xf>
    <xf numFmtId="164" fontId="6" fillId="0" borderId="0" xfId="0" applyNumberFormat="1" applyFont="1" applyFill="1" applyAlignment="1">
      <alignment vertical="center"/>
    </xf>
    <xf numFmtId="0" fontId="7" fillId="0" borderId="0" xfId="0" applyFont="1" applyFill="1" applyAlignment="1">
      <alignment vertical="center"/>
    </xf>
    <xf numFmtId="0" fontId="6" fillId="0" borderId="0" xfId="0" applyFont="1" applyFill="1" applyAlignment="1">
      <alignment horizontal="left" vertical="center" wrapText="1"/>
    </xf>
    <xf numFmtId="0" fontId="7" fillId="0" borderId="0" xfId="2" applyFont="1" applyFill="1"/>
    <xf numFmtId="0" fontId="3" fillId="0" borderId="0" xfId="0" applyFont="1" applyFill="1" applyAlignment="1">
      <alignment horizontal="right"/>
    </xf>
    <xf numFmtId="0" fontId="0" fillId="0" borderId="14" xfId="0" applyFill="1" applyBorder="1"/>
    <xf numFmtId="164" fontId="6" fillId="0" borderId="0" xfId="0" applyNumberFormat="1" applyFont="1" applyFill="1" applyAlignment="1">
      <alignment horizontal="left" vertical="center"/>
    </xf>
    <xf numFmtId="0" fontId="6" fillId="0" borderId="0" xfId="0" applyFont="1" applyFill="1" applyAlignment="1">
      <alignment vertical="center"/>
    </xf>
    <xf numFmtId="164" fontId="6" fillId="0" borderId="0" xfId="0" applyNumberFormat="1" applyFont="1" applyFill="1" applyAlignment="1">
      <alignment horizontal="right" vertical="center"/>
    </xf>
    <xf numFmtId="0" fontId="6" fillId="0" borderId="0" xfId="0" applyFont="1" applyFill="1" applyAlignment="1">
      <alignment horizontal="left" vertical="center"/>
    </xf>
    <xf numFmtId="0" fontId="9" fillId="0" borderId="0" xfId="1" applyFont="1" applyFill="1" applyAlignment="1">
      <alignment horizontal="left"/>
    </xf>
    <xf numFmtId="0" fontId="6" fillId="0" borderId="0" xfId="0" applyFont="1" applyFill="1" applyAlignment="1">
      <alignment horizontal="left" wrapText="1"/>
    </xf>
    <xf numFmtId="0" fontId="6" fillId="0" borderId="0" xfId="0" applyFont="1" applyFill="1" applyAlignment="1">
      <alignment horizontal="right" wrapText="1"/>
    </xf>
    <xf numFmtId="0" fontId="7" fillId="0" borderId="0" xfId="0" applyFont="1" applyFill="1"/>
    <xf numFmtId="0" fontId="7" fillId="0" borderId="0" xfId="2" applyFont="1" applyFill="1" applyAlignment="1">
      <alignment horizontal="right"/>
    </xf>
    <xf numFmtId="0" fontId="9" fillId="0" borderId="0" xfId="1" applyFont="1" applyFill="1" applyBorder="1" applyAlignment="1">
      <alignment vertical="center"/>
    </xf>
  </cellXfs>
  <cellStyles count="3">
    <cellStyle name="Link" xfId="1" builtinId="8"/>
    <cellStyle name="Standard" xfId="0" builtinId="0"/>
    <cellStyle name="Standard_Tabelle_A_6_HT" xfId="2" xr:uid="{BE2475B0-4CD9-4CFD-AFF5-13375EF35B5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Hannover/Dez15_Uebergreifende_Analysen/Projekte/Integrationsmonitoring_2026/Datentabellen%202026/2025_4-1-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ownload_4-3-1"/>
      <sheetName val="CSV_Vorbereitung"/>
      <sheetName val="CSV_Export"/>
      <sheetName val="2021"/>
      <sheetName val="2022"/>
      <sheetName val="2023"/>
      <sheetName val="2024"/>
      <sheetName val="2025"/>
    </sheetNames>
    <sheetDataSet>
      <sheetData sheetId="0"/>
      <sheetData sheetId="1"/>
      <sheetData sheetId="2"/>
      <sheetData sheetId="3">
        <row r="7">
          <cell r="D7">
            <v>31.03</v>
          </cell>
          <cell r="E7">
            <v>11.72</v>
          </cell>
          <cell r="F7">
            <v>19.309999999999999</v>
          </cell>
        </row>
        <row r="8">
          <cell r="D8">
            <v>57.56</v>
          </cell>
          <cell r="E8">
            <v>18.55</v>
          </cell>
          <cell r="F8">
            <v>39.020000000000003</v>
          </cell>
        </row>
        <row r="9">
          <cell r="D9">
            <v>260.79000000000002</v>
          </cell>
          <cell r="E9">
            <v>88.41</v>
          </cell>
          <cell r="F9">
            <v>172.39</v>
          </cell>
        </row>
        <row r="11">
          <cell r="D11">
            <v>56.47</v>
          </cell>
          <cell r="E11">
            <v>35.57</v>
          </cell>
          <cell r="F11">
            <v>20.9</v>
          </cell>
        </row>
        <row r="12">
          <cell r="D12">
            <v>99.87</v>
          </cell>
          <cell r="E12">
            <v>62.01</v>
          </cell>
          <cell r="F12">
            <v>37.85</v>
          </cell>
        </row>
        <row r="13">
          <cell r="D13">
            <v>888</v>
          </cell>
          <cell r="E13">
            <v>680.57</v>
          </cell>
          <cell r="F13">
            <v>207.43</v>
          </cell>
        </row>
        <row r="15">
          <cell r="D15">
            <v>178.91</v>
          </cell>
          <cell r="E15">
            <v>130.76</v>
          </cell>
          <cell r="F15">
            <v>48.15</v>
          </cell>
        </row>
        <row r="16">
          <cell r="D16">
            <v>307.37</v>
          </cell>
          <cell r="E16">
            <v>238.17</v>
          </cell>
          <cell r="F16">
            <v>69.209999999999994</v>
          </cell>
        </row>
        <row r="17">
          <cell r="D17">
            <v>1703.82</v>
          </cell>
          <cell r="E17">
            <v>1355.05</v>
          </cell>
          <cell r="F17">
            <v>348.77</v>
          </cell>
        </row>
        <row r="19">
          <cell r="D19">
            <v>243.93</v>
          </cell>
          <cell r="E19">
            <v>187.36</v>
          </cell>
          <cell r="F19">
            <v>56.57</v>
          </cell>
        </row>
        <row r="20">
          <cell r="D20">
            <v>468.26</v>
          </cell>
          <cell r="E20">
            <v>342.44</v>
          </cell>
          <cell r="F20">
            <v>125.82</v>
          </cell>
        </row>
        <row r="21">
          <cell r="D21">
            <v>1873.8</v>
          </cell>
          <cell r="E21">
            <v>1463.48</v>
          </cell>
          <cell r="F21">
            <v>410.32</v>
          </cell>
        </row>
        <row r="24">
          <cell r="D24">
            <v>510.35</v>
          </cell>
          <cell r="E24">
            <v>365.41</v>
          </cell>
          <cell r="F24">
            <v>144.94</v>
          </cell>
        </row>
        <row r="25">
          <cell r="D25">
            <v>933.06</v>
          </cell>
          <cell r="E25">
            <v>661.17</v>
          </cell>
          <cell r="F25">
            <v>271.89999999999998</v>
          </cell>
        </row>
        <row r="26">
          <cell r="D26">
            <v>4726.42</v>
          </cell>
          <cell r="E26">
            <v>3587.51</v>
          </cell>
          <cell r="F26">
            <v>1138.9100000000001</v>
          </cell>
        </row>
      </sheetData>
      <sheetData sheetId="4">
        <row r="7">
          <cell r="D7">
            <v>31.8</v>
          </cell>
          <cell r="E7">
            <v>9.6</v>
          </cell>
          <cell r="F7">
            <v>22.19</v>
          </cell>
        </row>
        <row r="8">
          <cell r="D8">
            <v>56.23</v>
          </cell>
          <cell r="E8">
            <v>17.260000000000002</v>
          </cell>
          <cell r="F8">
            <v>38.97</v>
          </cell>
        </row>
        <row r="9">
          <cell r="D9">
            <v>267.43</v>
          </cell>
          <cell r="E9">
            <v>82.8</v>
          </cell>
          <cell r="F9">
            <v>184.63</v>
          </cell>
        </row>
        <row r="11">
          <cell r="D11">
            <v>56.3</v>
          </cell>
          <cell r="E11">
            <v>33.119999999999997</v>
          </cell>
          <cell r="F11">
            <v>23.18</v>
          </cell>
        </row>
        <row r="12">
          <cell r="D12">
            <v>98.74</v>
          </cell>
          <cell r="E12">
            <v>62.38</v>
          </cell>
          <cell r="F12">
            <v>36.36</v>
          </cell>
        </row>
        <row r="13">
          <cell r="D13">
            <v>840.02</v>
          </cell>
          <cell r="E13">
            <v>633.41</v>
          </cell>
          <cell r="F13">
            <v>206.61</v>
          </cell>
        </row>
        <row r="15">
          <cell r="D15">
            <v>179.52</v>
          </cell>
          <cell r="E15">
            <v>134.29</v>
          </cell>
          <cell r="F15">
            <v>45.22</v>
          </cell>
        </row>
        <row r="16">
          <cell r="D16">
            <v>308.45</v>
          </cell>
          <cell r="E16">
            <v>237.73</v>
          </cell>
          <cell r="F16">
            <v>70.72</v>
          </cell>
        </row>
        <row r="17">
          <cell r="D17">
            <v>1709.06</v>
          </cell>
          <cell r="E17">
            <v>1356.72</v>
          </cell>
          <cell r="F17">
            <v>352.34</v>
          </cell>
        </row>
        <row r="19">
          <cell r="D19">
            <v>247.96</v>
          </cell>
          <cell r="E19">
            <v>190.4</v>
          </cell>
          <cell r="F19">
            <v>57.57</v>
          </cell>
        </row>
        <row r="20">
          <cell r="D20">
            <v>480.67</v>
          </cell>
          <cell r="E20">
            <v>343.99</v>
          </cell>
          <cell r="F20">
            <v>136.66999999999999</v>
          </cell>
        </row>
        <row r="21">
          <cell r="D21">
            <v>1940.14</v>
          </cell>
          <cell r="E21">
            <v>1491.63</v>
          </cell>
          <cell r="F21">
            <v>448.51</v>
          </cell>
        </row>
        <row r="24">
          <cell r="D24">
            <v>515.58000000000004</v>
          </cell>
          <cell r="E24">
            <v>367.42</v>
          </cell>
          <cell r="F24">
            <v>148.16999999999999</v>
          </cell>
        </row>
        <row r="25">
          <cell r="D25">
            <v>944.09</v>
          </cell>
          <cell r="E25">
            <v>661.37</v>
          </cell>
          <cell r="F25">
            <v>282.72000000000003</v>
          </cell>
        </row>
        <row r="26">
          <cell r="D26">
            <v>4756.66</v>
          </cell>
          <cell r="E26">
            <v>3564.56</v>
          </cell>
          <cell r="F26">
            <v>1192.0899999999999</v>
          </cell>
        </row>
      </sheetData>
      <sheetData sheetId="5">
        <row r="7">
          <cell r="D7">
            <v>39.659999999999997</v>
          </cell>
          <cell r="E7">
            <v>14.03</v>
          </cell>
          <cell r="F7">
            <v>25.63</v>
          </cell>
        </row>
        <row r="8">
          <cell r="D8">
            <v>65.72</v>
          </cell>
          <cell r="E8">
            <v>17.12</v>
          </cell>
          <cell r="F8">
            <v>48.6</v>
          </cell>
        </row>
        <row r="9">
          <cell r="D9">
            <v>315.43</v>
          </cell>
          <cell r="E9">
            <v>94.92</v>
          </cell>
          <cell r="F9">
            <v>220.51</v>
          </cell>
        </row>
        <row r="11">
          <cell r="D11">
            <v>66</v>
          </cell>
          <cell r="E11">
            <v>38.31</v>
          </cell>
          <cell r="F11">
            <v>27.69</v>
          </cell>
        </row>
        <row r="12">
          <cell r="D12">
            <v>105.53</v>
          </cell>
          <cell r="E12">
            <v>65.489999999999995</v>
          </cell>
          <cell r="F12">
            <v>40.04</v>
          </cell>
        </row>
        <row r="13">
          <cell r="D13">
            <v>887.08</v>
          </cell>
          <cell r="E13">
            <v>654.65</v>
          </cell>
          <cell r="F13">
            <v>232.43</v>
          </cell>
        </row>
        <row r="15">
          <cell r="D15">
            <v>167.88</v>
          </cell>
          <cell r="E15">
            <v>118.76</v>
          </cell>
          <cell r="F15">
            <v>49.11</v>
          </cell>
        </row>
        <row r="16">
          <cell r="D16">
            <v>300.25</v>
          </cell>
          <cell r="E16">
            <v>232.17</v>
          </cell>
          <cell r="F16">
            <v>68.08</v>
          </cell>
        </row>
        <row r="17">
          <cell r="D17">
            <v>1679.44</v>
          </cell>
          <cell r="E17">
            <v>1332.12</v>
          </cell>
          <cell r="F17">
            <v>347.32</v>
          </cell>
        </row>
        <row r="19">
          <cell r="D19">
            <v>238.86</v>
          </cell>
          <cell r="E19">
            <v>178.72</v>
          </cell>
          <cell r="F19">
            <v>60.14</v>
          </cell>
        </row>
        <row r="20">
          <cell r="D20">
            <v>481.9</v>
          </cell>
          <cell r="E20">
            <v>353.29</v>
          </cell>
          <cell r="F20">
            <v>128.61000000000001</v>
          </cell>
        </row>
        <row r="21">
          <cell r="D21">
            <v>1895.85</v>
          </cell>
          <cell r="E21">
            <v>1453.52</v>
          </cell>
          <cell r="F21">
            <v>442.32</v>
          </cell>
        </row>
        <row r="24">
          <cell r="D24">
            <v>512.4</v>
          </cell>
          <cell r="E24">
            <v>349.82</v>
          </cell>
          <cell r="F24">
            <v>162.58000000000001</v>
          </cell>
        </row>
        <row r="25">
          <cell r="D25">
            <v>953.39</v>
          </cell>
          <cell r="E25">
            <v>668.07</v>
          </cell>
          <cell r="F25">
            <v>285.32</v>
          </cell>
        </row>
        <row r="26">
          <cell r="D26">
            <v>4777.8</v>
          </cell>
          <cell r="E26">
            <v>3535.21</v>
          </cell>
          <cell r="F26">
            <v>1242.58</v>
          </cell>
        </row>
      </sheetData>
      <sheetData sheetId="6">
        <row r="7">
          <cell r="D7">
            <v>38.39</v>
          </cell>
          <cell r="E7">
            <v>13.96</v>
          </cell>
          <cell r="F7">
            <v>24.43</v>
          </cell>
        </row>
        <row r="8">
          <cell r="D8">
            <v>73.099999999999994</v>
          </cell>
          <cell r="E8">
            <v>17.23</v>
          </cell>
          <cell r="F8">
            <v>55.87</v>
          </cell>
        </row>
        <row r="9">
          <cell r="D9">
            <v>331.44</v>
          </cell>
          <cell r="E9">
            <v>94.9</v>
          </cell>
          <cell r="F9">
            <v>236.54</v>
          </cell>
        </row>
        <row r="11">
          <cell r="D11">
            <v>65.459999999999994</v>
          </cell>
          <cell r="E11">
            <v>34.17</v>
          </cell>
          <cell r="F11">
            <v>31.29</v>
          </cell>
        </row>
        <row r="12">
          <cell r="D12">
            <v>101.68</v>
          </cell>
          <cell r="E12">
            <v>59.39</v>
          </cell>
          <cell r="F12">
            <v>42.28</v>
          </cell>
        </row>
        <row r="13">
          <cell r="D13">
            <v>856.54</v>
          </cell>
          <cell r="E13">
            <v>603.1</v>
          </cell>
          <cell r="F13">
            <v>253.44</v>
          </cell>
        </row>
        <row r="15">
          <cell r="D15">
            <v>160.22999999999999</v>
          </cell>
          <cell r="E15">
            <v>108.81</v>
          </cell>
          <cell r="F15">
            <v>51.43</v>
          </cell>
        </row>
        <row r="16">
          <cell r="D16">
            <v>280.98</v>
          </cell>
          <cell r="E16">
            <v>209.46</v>
          </cell>
          <cell r="F16">
            <v>71.52</v>
          </cell>
        </row>
        <row r="17">
          <cell r="D17">
            <v>1634.44</v>
          </cell>
          <cell r="E17">
            <v>1263.5899999999999</v>
          </cell>
          <cell r="F17">
            <v>370.85</v>
          </cell>
        </row>
        <row r="19">
          <cell r="D19">
            <v>237.92</v>
          </cell>
          <cell r="E19">
            <v>173.16</v>
          </cell>
          <cell r="F19">
            <v>64.760000000000005</v>
          </cell>
        </row>
        <row r="20">
          <cell r="D20">
            <v>509.1</v>
          </cell>
          <cell r="E20">
            <v>375.39</v>
          </cell>
          <cell r="F20">
            <v>133.71</v>
          </cell>
        </row>
        <row r="21">
          <cell r="D21">
            <v>1951.39</v>
          </cell>
          <cell r="E21">
            <v>1476.93</v>
          </cell>
          <cell r="F21">
            <v>474.46</v>
          </cell>
        </row>
        <row r="24">
          <cell r="D24">
            <v>502</v>
          </cell>
          <cell r="E24">
            <v>330.09</v>
          </cell>
          <cell r="F24">
            <v>171.91</v>
          </cell>
        </row>
        <row r="25">
          <cell r="D25">
            <v>964.86</v>
          </cell>
          <cell r="E25">
            <v>661.48</v>
          </cell>
          <cell r="F25">
            <v>303.38</v>
          </cell>
        </row>
        <row r="26">
          <cell r="D26">
            <v>4773.8100000000004</v>
          </cell>
          <cell r="E26">
            <v>3438.52</v>
          </cell>
          <cell r="F26">
            <v>1335.29</v>
          </cell>
        </row>
      </sheetData>
      <sheetData sheetId="7">
        <row r="7">
          <cell r="D7">
            <v>37.76</v>
          </cell>
          <cell r="E7">
            <v>10.119999999999999</v>
          </cell>
          <cell r="F7">
            <v>27.64</v>
          </cell>
        </row>
        <row r="8">
          <cell r="D8">
            <v>67.33</v>
          </cell>
          <cell r="E8">
            <v>14.42</v>
          </cell>
          <cell r="F8">
            <v>52.91</v>
          </cell>
        </row>
        <row r="9">
          <cell r="D9">
            <v>325.64</v>
          </cell>
          <cell r="E9">
            <v>85.93</v>
          </cell>
          <cell r="F9">
            <v>239.71</v>
          </cell>
        </row>
        <row r="11">
          <cell r="D11">
            <v>59.67</v>
          </cell>
          <cell r="E11">
            <v>32.270000000000003</v>
          </cell>
          <cell r="F11">
            <v>27.4</v>
          </cell>
        </row>
        <row r="12">
          <cell r="D12">
            <v>95.83</v>
          </cell>
          <cell r="E12">
            <v>55.59</v>
          </cell>
          <cell r="F12">
            <v>40.229999999999997</v>
          </cell>
        </row>
        <row r="13">
          <cell r="D13">
            <v>810.46</v>
          </cell>
          <cell r="E13">
            <v>560.63</v>
          </cell>
          <cell r="F13">
            <v>249.83</v>
          </cell>
        </row>
        <row r="15">
          <cell r="D15">
            <v>158.87</v>
          </cell>
          <cell r="E15">
            <v>105.61</v>
          </cell>
          <cell r="F15">
            <v>53.26</v>
          </cell>
        </row>
        <row r="16">
          <cell r="D16">
            <v>273.69</v>
          </cell>
          <cell r="E16">
            <v>202.26</v>
          </cell>
          <cell r="F16">
            <v>71.430000000000007</v>
          </cell>
        </row>
        <row r="17">
          <cell r="D17">
            <v>1598.94</v>
          </cell>
          <cell r="E17">
            <v>1230.8800000000001</v>
          </cell>
          <cell r="F17">
            <v>368.06</v>
          </cell>
        </row>
        <row r="19">
          <cell r="D19">
            <v>227.52</v>
          </cell>
          <cell r="E19">
            <v>161.57</v>
          </cell>
          <cell r="F19">
            <v>65.94</v>
          </cell>
        </row>
        <row r="20">
          <cell r="D20">
            <v>511.94</v>
          </cell>
          <cell r="E20">
            <v>368.59</v>
          </cell>
          <cell r="F20">
            <v>143.35</v>
          </cell>
        </row>
        <row r="21">
          <cell r="D21">
            <v>2005.76</v>
          </cell>
          <cell r="E21">
            <v>1512.21</v>
          </cell>
          <cell r="F21">
            <v>493.55</v>
          </cell>
        </row>
        <row r="24">
          <cell r="D24">
            <v>483.81</v>
          </cell>
          <cell r="E24">
            <v>309.57</v>
          </cell>
          <cell r="F24">
            <v>174.24</v>
          </cell>
        </row>
        <row r="25">
          <cell r="D25">
            <v>948.78</v>
          </cell>
          <cell r="E25">
            <v>640.86</v>
          </cell>
          <cell r="F25">
            <v>307.92</v>
          </cell>
        </row>
        <row r="26">
          <cell r="D26">
            <v>4740.8</v>
          </cell>
          <cell r="E26">
            <v>3389.65</v>
          </cell>
          <cell r="F26">
            <v>1351.15</v>
          </cell>
        </row>
      </sheetData>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hyperlink" Target="https://www.destatis.de/DE/Themen/Gesellschaft-Umwelt/Bevoelkerung/Haushalte-Familien/Methoden/mikrozensus-2020.html" TargetMode="External"/><Relationship Id="rId1" Type="http://schemas.openxmlformats.org/officeDocument/2006/relationships/hyperlink" Target="https://www.integrationsmonitoring.niedersachsen.d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10A80F-E3AE-46B7-BA8F-8173D0D9C665}">
  <sheetPr codeName="Tabelle1"/>
  <dimension ref="B1:L229"/>
  <sheetViews>
    <sheetView showGridLines="0" tabSelected="1" zoomScale="140" zoomScaleNormal="140" workbookViewId="0"/>
  </sheetViews>
  <sheetFormatPr baseColWidth="10" defaultColWidth="11.42578125" defaultRowHeight="15" x14ac:dyDescent="0.25"/>
  <cols>
    <col min="1" max="1" width="5.7109375" customWidth="1"/>
    <col min="2" max="2" width="14.7109375" customWidth="1"/>
    <col min="3" max="3" width="11.5703125" customWidth="1"/>
    <col min="4" max="4" width="5.7109375" style="2" customWidth="1"/>
    <col min="5" max="5" width="8.28515625" customWidth="1"/>
    <col min="6" max="7" width="7.7109375" customWidth="1"/>
    <col min="8" max="11" width="5.7109375" customWidth="1"/>
  </cols>
  <sheetData>
    <row r="1" spans="2:12" ht="15" customHeight="1" x14ac:dyDescent="0.25">
      <c r="B1" s="1" t="s">
        <v>29</v>
      </c>
    </row>
    <row r="2" spans="2:12" ht="15" customHeight="1" x14ac:dyDescent="0.25"/>
    <row r="3" spans="2:12" ht="15" customHeight="1" x14ac:dyDescent="0.25">
      <c r="B3" s="3" t="s">
        <v>0</v>
      </c>
      <c r="C3" s="3"/>
      <c r="D3" s="4"/>
      <c r="E3" s="5"/>
      <c r="F3" s="5"/>
      <c r="G3" s="5"/>
      <c r="H3" s="5"/>
      <c r="I3" s="5"/>
      <c r="J3" s="5"/>
      <c r="K3" s="5"/>
      <c r="L3" s="5"/>
    </row>
    <row r="4" spans="2:12" ht="15" customHeight="1" x14ac:dyDescent="0.25">
      <c r="B4" s="6" t="s">
        <v>1</v>
      </c>
      <c r="C4" s="6"/>
      <c r="D4" s="7"/>
      <c r="E4" s="6"/>
      <c r="F4" s="6"/>
      <c r="G4" s="6"/>
      <c r="H4" s="6"/>
      <c r="I4" s="1"/>
      <c r="J4" s="1"/>
      <c r="K4" s="1"/>
      <c r="L4" s="1"/>
    </row>
    <row r="6" spans="2:12" ht="8.25" customHeight="1" x14ac:dyDescent="0.25">
      <c r="B6" s="22" t="s">
        <v>2</v>
      </c>
      <c r="C6" s="25" t="s">
        <v>3</v>
      </c>
      <c r="D6" s="28" t="s">
        <v>4</v>
      </c>
      <c r="E6" s="31" t="s">
        <v>5</v>
      </c>
      <c r="F6" s="34" t="s">
        <v>6</v>
      </c>
      <c r="G6" s="35"/>
    </row>
    <row r="7" spans="2:12" ht="8.25" customHeight="1" x14ac:dyDescent="0.25">
      <c r="B7" s="23"/>
      <c r="C7" s="26"/>
      <c r="D7" s="29"/>
      <c r="E7" s="32"/>
      <c r="F7" s="8" t="s">
        <v>7</v>
      </c>
      <c r="G7" s="9" t="s">
        <v>8</v>
      </c>
    </row>
    <row r="8" spans="2:12" ht="8.25" customHeight="1" x14ac:dyDescent="0.25">
      <c r="B8" s="23"/>
      <c r="C8" s="26"/>
      <c r="D8" s="29"/>
      <c r="E8" s="33"/>
      <c r="F8" s="36" t="s">
        <v>9</v>
      </c>
      <c r="G8" s="34"/>
    </row>
    <row r="9" spans="2:12" ht="8.25" customHeight="1" x14ac:dyDescent="0.25">
      <c r="B9" s="24"/>
      <c r="C9" s="27"/>
      <c r="D9" s="30"/>
      <c r="E9" s="37" t="s">
        <v>10</v>
      </c>
      <c r="F9" s="38"/>
      <c r="G9" s="38"/>
    </row>
    <row r="10" spans="2:12" ht="8.25" customHeight="1" x14ac:dyDescent="0.25">
      <c r="B10" s="10">
        <v>1</v>
      </c>
      <c r="C10" s="10">
        <v>2</v>
      </c>
      <c r="D10" s="11">
        <v>3</v>
      </c>
      <c r="E10" s="12">
        <v>4</v>
      </c>
      <c r="F10" s="12">
        <v>5</v>
      </c>
      <c r="G10" s="12">
        <v>6</v>
      </c>
    </row>
    <row r="11" spans="2:12" s="39" customFormat="1" ht="8.25" customHeight="1" x14ac:dyDescent="0.25">
      <c r="B11" s="13" t="s">
        <v>11</v>
      </c>
      <c r="C11" s="13" t="s">
        <v>12</v>
      </c>
      <c r="D11" s="14">
        <v>2025</v>
      </c>
      <c r="E11" s="15">
        <f>'[1]2025'!D7/'[1]2025'!D24*100</f>
        <v>7.8047167276410159</v>
      </c>
      <c r="F11" s="15">
        <f>'[1]2025'!F7/'[1]2025'!F24*100</f>
        <v>15.86317722681359</v>
      </c>
      <c r="G11" s="15">
        <f>'[1]2025'!E7/'[1]2025'!E24*100</f>
        <v>3.269050618599993</v>
      </c>
    </row>
    <row r="12" spans="2:12" s="39" customFormat="1" ht="8.25" customHeight="1" x14ac:dyDescent="0.25">
      <c r="B12" s="13" t="s">
        <v>13</v>
      </c>
      <c r="C12" s="13" t="s">
        <v>12</v>
      </c>
      <c r="D12" s="14">
        <v>2025</v>
      </c>
      <c r="E12" s="15">
        <f>'[1]2025'!D8/'[1]2025'!D25*100</f>
        <v>7.0964817976770167</v>
      </c>
      <c r="F12" s="15">
        <f>'[1]2025'!F8/'[1]2025'!F25*100</f>
        <v>17.183034554429721</v>
      </c>
      <c r="G12" s="15">
        <f>'[1]2025'!E8/'[1]2025'!E25*100</f>
        <v>2.2501014262085324</v>
      </c>
    </row>
    <row r="13" spans="2:12" s="39" customFormat="1" ht="8.25" customHeight="1" x14ac:dyDescent="0.25">
      <c r="B13" s="13" t="s">
        <v>14</v>
      </c>
      <c r="C13" s="13" t="s">
        <v>12</v>
      </c>
      <c r="D13" s="14">
        <v>2025</v>
      </c>
      <c r="E13" s="15">
        <f>'[1]2025'!D9/'[1]2025'!D26*100</f>
        <v>6.8688828889638867</v>
      </c>
      <c r="F13" s="15">
        <f>'[1]2025'!F9/'[1]2025'!F26*100</f>
        <v>17.741183436332015</v>
      </c>
      <c r="G13" s="15">
        <f>'[1]2025'!E9/'[1]2025'!E26*100</f>
        <v>2.5350699924770996</v>
      </c>
    </row>
    <row r="14" spans="2:12" s="39" customFormat="1" ht="8.25" customHeight="1" x14ac:dyDescent="0.25">
      <c r="B14" s="13" t="s">
        <v>11</v>
      </c>
      <c r="C14" s="16" t="s">
        <v>15</v>
      </c>
      <c r="D14" s="14">
        <v>2025</v>
      </c>
      <c r="E14" s="15">
        <f>'[1]2025'!D11/'[1]2025'!D24*100</f>
        <v>12.333354002604329</v>
      </c>
      <c r="F14" s="15">
        <f>'[1]2025'!F11/'[1]2025'!F24*100</f>
        <v>15.725436179981633</v>
      </c>
      <c r="G14" s="15">
        <f>'[1]2025'!E11/'[1]2025'!E24*100</f>
        <v>10.424136705753142</v>
      </c>
    </row>
    <row r="15" spans="2:12" s="39" customFormat="1" ht="8.25" customHeight="1" x14ac:dyDescent="0.25">
      <c r="B15" s="13" t="s">
        <v>13</v>
      </c>
      <c r="C15" s="16" t="s">
        <v>15</v>
      </c>
      <c r="D15" s="14">
        <v>2025</v>
      </c>
      <c r="E15" s="15">
        <f>'[1]2025'!D12/'[1]2025'!D25*100</f>
        <v>10.10033938320791</v>
      </c>
      <c r="F15" s="15">
        <f>'[1]2025'!F12/'[1]2025'!F25*100</f>
        <v>13.065081839438813</v>
      </c>
      <c r="G15" s="15">
        <f>'[1]2025'!E12/'[1]2025'!E25*100</f>
        <v>8.67428143432263</v>
      </c>
    </row>
    <row r="16" spans="2:12" s="39" customFormat="1" ht="8.25" customHeight="1" x14ac:dyDescent="0.25">
      <c r="B16" s="13" t="s">
        <v>14</v>
      </c>
      <c r="C16" s="16" t="s">
        <v>15</v>
      </c>
      <c r="D16" s="14">
        <v>2025</v>
      </c>
      <c r="E16" s="15">
        <f>'[1]2025'!D13/'[1]2025'!D26*100</f>
        <v>17.095426932163349</v>
      </c>
      <c r="F16" s="15">
        <f>'[1]2025'!F13/'[1]2025'!F26*100</f>
        <v>18.490175036080377</v>
      </c>
      <c r="G16" s="15">
        <f>'[1]2025'!E13/'[1]2025'!E26*100</f>
        <v>16.539465726549938</v>
      </c>
    </row>
    <row r="17" spans="2:7" s="39" customFormat="1" ht="8.25" customHeight="1" x14ac:dyDescent="0.25">
      <c r="B17" s="13" t="s">
        <v>11</v>
      </c>
      <c r="C17" s="16" t="s">
        <v>16</v>
      </c>
      <c r="D17" s="14">
        <v>2025</v>
      </c>
      <c r="E17" s="15">
        <f>'[1]2025'!D15/'[1]2025'!D24*100</f>
        <v>32.837270829457843</v>
      </c>
      <c r="F17" s="15">
        <f>'[1]2025'!F15/'[1]2025'!F24*100</f>
        <v>30.567033976124879</v>
      </c>
      <c r="G17" s="15">
        <f>'[1]2025'!E15/'[1]2025'!E24*100</f>
        <v>34.11506282908551</v>
      </c>
    </row>
    <row r="18" spans="2:7" s="39" customFormat="1" ht="8.25" customHeight="1" x14ac:dyDescent="0.25">
      <c r="B18" s="13" t="s">
        <v>13</v>
      </c>
      <c r="C18" s="16" t="s">
        <v>16</v>
      </c>
      <c r="D18" s="14">
        <v>2025</v>
      </c>
      <c r="E18" s="15">
        <f>'[1]2025'!D16/'[1]2025'!D25*100</f>
        <v>28.846518687156138</v>
      </c>
      <c r="F18" s="15">
        <f>'[1]2025'!F16/'[1]2025'!F25*100</f>
        <v>23.197583787996884</v>
      </c>
      <c r="G18" s="15">
        <f>'[1]2025'!E16/'[1]2025'!E25*100</f>
        <v>31.560715288830632</v>
      </c>
    </row>
    <row r="19" spans="2:7" s="39" customFormat="1" ht="8.25" customHeight="1" x14ac:dyDescent="0.25">
      <c r="B19" s="13" t="s">
        <v>14</v>
      </c>
      <c r="C19" s="16" t="s">
        <v>16</v>
      </c>
      <c r="D19" s="14">
        <v>2025</v>
      </c>
      <c r="E19" s="15">
        <f>'[1]2025'!D17/'[1]2025'!D26*100</f>
        <v>33.727219034762065</v>
      </c>
      <c r="F19" s="15">
        <f>'[1]2025'!F17/'[1]2025'!F26*100</f>
        <v>27.240498834326317</v>
      </c>
      <c r="G19" s="15">
        <f>'[1]2025'!E17/'[1]2025'!E26*100</f>
        <v>36.312893661587481</v>
      </c>
    </row>
    <row r="20" spans="2:7" s="39" customFormat="1" ht="8.25" customHeight="1" x14ac:dyDescent="0.25">
      <c r="B20" s="13" t="s">
        <v>11</v>
      </c>
      <c r="C20" s="16" t="s">
        <v>17</v>
      </c>
      <c r="D20" s="14">
        <v>2025</v>
      </c>
      <c r="E20" s="15">
        <f>'[1]2025'!D19/'[1]2025'!D24*100</f>
        <v>47.026725367396295</v>
      </c>
      <c r="F20" s="15">
        <f>'[1]2025'!F19/'[1]2025'!F24*100</f>
        <v>37.844352617079885</v>
      </c>
      <c r="G20" s="15">
        <f>'[1]2025'!E19/'[1]2025'!E24*100</f>
        <v>52.191749846561351</v>
      </c>
    </row>
    <row r="21" spans="2:7" s="39" customFormat="1" ht="8.25" customHeight="1" x14ac:dyDescent="0.25">
      <c r="B21" s="13" t="s">
        <v>13</v>
      </c>
      <c r="C21" s="16" t="s">
        <v>17</v>
      </c>
      <c r="D21" s="14">
        <v>2025</v>
      </c>
      <c r="E21" s="15">
        <f>'[1]2025'!D20/'[1]2025'!D25*100</f>
        <v>53.957714117076669</v>
      </c>
      <c r="F21" s="15">
        <f>'[1]2025'!F20/'[1]2025'!F25*100</f>
        <v>46.554299818134574</v>
      </c>
      <c r="G21" s="15">
        <f>'[1]2025'!E20/'[1]2025'!E25*100</f>
        <v>57.514901850638203</v>
      </c>
    </row>
    <row r="22" spans="2:7" s="39" customFormat="1" ht="8.25" customHeight="1" x14ac:dyDescent="0.25">
      <c r="B22" s="13" t="s">
        <v>14</v>
      </c>
      <c r="C22" s="16" t="s">
        <v>17</v>
      </c>
      <c r="D22" s="14">
        <v>2025</v>
      </c>
      <c r="E22" s="15">
        <f>'[1]2025'!D21/'[1]2025'!D26*100</f>
        <v>42.308471144110698</v>
      </c>
      <c r="F22" s="15">
        <f>'[1]2025'!F21/'[1]2025'!F26*100</f>
        <v>36.528142693261294</v>
      </c>
      <c r="G22" s="15">
        <f>'[1]2025'!E21/'[1]2025'!E26*100</f>
        <v>44.61257061938548</v>
      </c>
    </row>
    <row r="23" spans="2:7" s="39" customFormat="1" ht="8.25" customHeight="1" x14ac:dyDescent="0.25">
      <c r="B23" s="13" t="s">
        <v>11</v>
      </c>
      <c r="C23" s="13" t="s">
        <v>12</v>
      </c>
      <c r="D23" s="14">
        <v>2024</v>
      </c>
      <c r="E23" s="15">
        <f>'[1]2024'!D7/'[1]2024'!D24*100</f>
        <v>7.6474103585657369</v>
      </c>
      <c r="F23" s="15">
        <f>'[1]2024'!F7/'[1]2024'!F24*100</f>
        <v>14.210924320865569</v>
      </c>
      <c r="G23" s="15">
        <f>'[1]2024'!E7/'[1]2024'!E24*100</f>
        <v>4.2291496258596153</v>
      </c>
    </row>
    <row r="24" spans="2:7" s="39" customFormat="1" ht="8.25" customHeight="1" x14ac:dyDescent="0.25">
      <c r="B24" s="13" t="s">
        <v>13</v>
      </c>
      <c r="C24" s="13" t="s">
        <v>12</v>
      </c>
      <c r="D24" s="14">
        <v>2024</v>
      </c>
      <c r="E24" s="15">
        <f>'[1]2024'!D8/'[1]2024'!D25*100</f>
        <v>7.5762286756627901</v>
      </c>
      <c r="F24" s="15">
        <f>'[1]2024'!F8/'[1]2024'!F25*100</f>
        <v>18.415848111279583</v>
      </c>
      <c r="G24" s="15">
        <f>'[1]2024'!E8/'[1]2024'!E25*100</f>
        <v>2.6047650722621998</v>
      </c>
    </row>
    <row r="25" spans="2:7" s="39" customFormat="1" ht="8.25" customHeight="1" x14ac:dyDescent="0.25">
      <c r="B25" s="13" t="s">
        <v>14</v>
      </c>
      <c r="C25" s="13" t="s">
        <v>12</v>
      </c>
      <c r="D25" s="14">
        <v>2024</v>
      </c>
      <c r="E25" s="15">
        <f>'[1]2024'!D9/'[1]2024'!D26*100</f>
        <v>6.9428821004606371</v>
      </c>
      <c r="F25" s="15">
        <f>'[1]2024'!F9/'[1]2024'!F26*100</f>
        <v>17.71450396543073</v>
      </c>
      <c r="G25" s="15">
        <f>'[1]2024'!E9/'[1]2024'!E26*100</f>
        <v>2.7599083326547471</v>
      </c>
    </row>
    <row r="26" spans="2:7" s="39" customFormat="1" ht="8.25" customHeight="1" x14ac:dyDescent="0.25">
      <c r="B26" s="13" t="s">
        <v>11</v>
      </c>
      <c r="C26" s="16" t="s">
        <v>15</v>
      </c>
      <c r="D26" s="14">
        <v>2024</v>
      </c>
      <c r="E26" s="15">
        <f>'[1]2024'!D11/'[1]2024'!D24*100</f>
        <v>13.039840637450197</v>
      </c>
      <c r="F26" s="15">
        <f>'[1]2024'!F11/'[1]2024'!F24*100</f>
        <v>18.201384445349312</v>
      </c>
      <c r="G26" s="15">
        <f>'[1]2024'!E11/'[1]2024'!E24*100</f>
        <v>10.351722257566118</v>
      </c>
    </row>
    <row r="27" spans="2:7" s="39" customFormat="1" ht="8.25" customHeight="1" x14ac:dyDescent="0.25">
      <c r="B27" s="13" t="s">
        <v>13</v>
      </c>
      <c r="C27" s="16" t="s">
        <v>15</v>
      </c>
      <c r="D27" s="14">
        <v>2024</v>
      </c>
      <c r="E27" s="15">
        <f>'[1]2024'!D12/'[1]2024'!D25*100</f>
        <v>10.538316439690734</v>
      </c>
      <c r="F27" s="15">
        <f>'[1]2024'!F12/'[1]2024'!F25*100</f>
        <v>13.936317489616984</v>
      </c>
      <c r="G27" s="15">
        <f>'[1]2024'!E12/'[1]2024'!E25*100</f>
        <v>8.9783515752554877</v>
      </c>
    </row>
    <row r="28" spans="2:7" s="39" customFormat="1" ht="8.25" customHeight="1" x14ac:dyDescent="0.25">
      <c r="B28" s="13" t="s">
        <v>14</v>
      </c>
      <c r="C28" s="16" t="s">
        <v>15</v>
      </c>
      <c r="D28" s="14">
        <v>2024</v>
      </c>
      <c r="E28" s="15">
        <f>'[1]2024'!D13/'[1]2024'!D26*100</f>
        <v>17.942482000749923</v>
      </c>
      <c r="F28" s="15">
        <f>'[1]2024'!F13/'[1]2024'!F26*100</f>
        <v>18.980146634813412</v>
      </c>
      <c r="G28" s="15">
        <f>'[1]2024'!E13/'[1]2024'!E26*100</f>
        <v>17.539522817956563</v>
      </c>
    </row>
    <row r="29" spans="2:7" s="39" customFormat="1" ht="8.25" customHeight="1" x14ac:dyDescent="0.25">
      <c r="B29" s="13" t="s">
        <v>11</v>
      </c>
      <c r="C29" s="16" t="s">
        <v>16</v>
      </c>
      <c r="D29" s="14">
        <v>2024</v>
      </c>
      <c r="E29" s="15">
        <f>'[1]2024'!D15/'[1]2024'!D24*100</f>
        <v>31.91832669322709</v>
      </c>
      <c r="F29" s="15">
        <f>'[1]2024'!F15/'[1]2024'!F24*100</f>
        <v>29.916816939096041</v>
      </c>
      <c r="G29" s="15">
        <f>'[1]2024'!E15/'[1]2024'!E24*100</f>
        <v>32.963737162592025</v>
      </c>
    </row>
    <row r="30" spans="2:7" s="39" customFormat="1" ht="8.25" customHeight="1" x14ac:dyDescent="0.25">
      <c r="B30" s="13" t="s">
        <v>13</v>
      </c>
      <c r="C30" s="16" t="s">
        <v>16</v>
      </c>
      <c r="D30" s="14">
        <v>2024</v>
      </c>
      <c r="E30" s="15">
        <f>'[1]2024'!D16/'[1]2024'!D25*100</f>
        <v>29.121323300789754</v>
      </c>
      <c r="F30" s="15">
        <f>'[1]2024'!F16/'[1]2024'!F25*100</f>
        <v>23.574395147999208</v>
      </c>
      <c r="G30" s="15">
        <f>'[1]2024'!E16/'[1]2024'!E25*100</f>
        <v>31.66535647336276</v>
      </c>
    </row>
    <row r="31" spans="2:7" s="39" customFormat="1" ht="8.25" customHeight="1" x14ac:dyDescent="0.25">
      <c r="B31" s="13" t="s">
        <v>14</v>
      </c>
      <c r="C31" s="16" t="s">
        <v>16</v>
      </c>
      <c r="D31" s="14">
        <v>2024</v>
      </c>
      <c r="E31" s="15">
        <f>'[1]2024'!D17/'[1]2024'!D26*100</f>
        <v>34.237642470060599</v>
      </c>
      <c r="F31" s="15">
        <f>'[1]2024'!F17/'[1]2024'!F26*100</f>
        <v>27.772993132577945</v>
      </c>
      <c r="G31" s="15">
        <f>'[1]2024'!E17/'[1]2024'!E26*100</f>
        <v>36.7480776613194</v>
      </c>
    </row>
    <row r="32" spans="2:7" s="39" customFormat="1" ht="8.25" customHeight="1" x14ac:dyDescent="0.25">
      <c r="B32" s="13" t="s">
        <v>11</v>
      </c>
      <c r="C32" s="16" t="s">
        <v>17</v>
      </c>
      <c r="D32" s="14">
        <v>2024</v>
      </c>
      <c r="E32" s="15">
        <f>'[1]2024'!D19/'[1]2024'!D24*100</f>
        <v>47.394422310756966</v>
      </c>
      <c r="F32" s="15">
        <f>'[1]2024'!F19/'[1]2024'!F24*100</f>
        <v>37.670874294689085</v>
      </c>
      <c r="G32" s="15">
        <f>'[1]2024'!E19/'[1]2024'!E24*100</f>
        <v>52.458420430791605</v>
      </c>
    </row>
    <row r="33" spans="2:7" s="39" customFormat="1" ht="8.25" customHeight="1" x14ac:dyDescent="0.25">
      <c r="B33" s="13" t="s">
        <v>13</v>
      </c>
      <c r="C33" s="16" t="s">
        <v>17</v>
      </c>
      <c r="D33" s="14">
        <v>2024</v>
      </c>
      <c r="E33" s="15">
        <f>'[1]2024'!D20/'[1]2024'!D25*100</f>
        <v>52.764131583856724</v>
      </c>
      <c r="F33" s="15">
        <f>'[1]2024'!F20/'[1]2024'!F25*100</f>
        <v>44.073439251104233</v>
      </c>
      <c r="G33" s="15">
        <f>'[1]2024'!E20/'[1]2024'!E25*100</f>
        <v>56.750015117615035</v>
      </c>
    </row>
    <row r="34" spans="2:7" s="39" customFormat="1" ht="8.25" customHeight="1" x14ac:dyDescent="0.25">
      <c r="B34" s="13" t="s">
        <v>14</v>
      </c>
      <c r="C34" s="16" t="s">
        <v>17</v>
      </c>
      <c r="D34" s="14">
        <v>2024</v>
      </c>
      <c r="E34" s="15">
        <f>'[1]2024'!D21/'[1]2024'!D26*100</f>
        <v>40.876993428728838</v>
      </c>
      <c r="F34" s="15">
        <f>'[1]2024'!F21/'[1]2024'!F26*100</f>
        <v>35.532356267177917</v>
      </c>
      <c r="G34" s="15">
        <f>'[1]2024'!E21/'[1]2024'!E26*100</f>
        <v>42.952491188069288</v>
      </c>
    </row>
    <row r="35" spans="2:7" s="39" customFormat="1" ht="8.25" customHeight="1" x14ac:dyDescent="0.25">
      <c r="B35" s="13" t="s">
        <v>11</v>
      </c>
      <c r="C35" s="13" t="s">
        <v>12</v>
      </c>
      <c r="D35" s="14">
        <v>2023</v>
      </c>
      <c r="E35" s="15">
        <f>'[1]2023'!D7/'[1]2023'!D24*100</f>
        <v>7.7400468384074941</v>
      </c>
      <c r="F35" s="15">
        <f>'[1]2023'!F7/'[1]2023'!F24*100</f>
        <v>15.764546684709064</v>
      </c>
      <c r="G35" s="15">
        <f>'[1]2023'!E7/'[1]2023'!E24*100</f>
        <v>4.010634040363616</v>
      </c>
    </row>
    <row r="36" spans="2:7" s="39" customFormat="1" ht="8.25" customHeight="1" x14ac:dyDescent="0.25">
      <c r="B36" s="13" t="s">
        <v>13</v>
      </c>
      <c r="C36" s="13" t="s">
        <v>12</v>
      </c>
      <c r="D36" s="14">
        <v>2023</v>
      </c>
      <c r="E36" s="15">
        <f>'[1]2023'!D8/'[1]2023'!D25*100</f>
        <v>6.8932965523028358</v>
      </c>
      <c r="F36" s="15">
        <f>'[1]2023'!F8/'[1]2023'!F25*100</f>
        <v>17.033506238609281</v>
      </c>
      <c r="G36" s="15">
        <f>'[1]2023'!E8/'[1]2023'!E25*100</f>
        <v>2.5626057149699881</v>
      </c>
    </row>
    <row r="37" spans="2:7" s="39" customFormat="1" ht="8.25" customHeight="1" x14ac:dyDescent="0.25">
      <c r="B37" s="13" t="s">
        <v>14</v>
      </c>
      <c r="C37" s="13" t="s">
        <v>12</v>
      </c>
      <c r="D37" s="14">
        <v>2023</v>
      </c>
      <c r="E37" s="15">
        <f>'[1]2023'!D9/'[1]2023'!D26*100</f>
        <v>6.6019925488718654</v>
      </c>
      <c r="F37" s="15">
        <f>'[1]2023'!F9/'[1]2023'!F26*100</f>
        <v>17.7461410935312</v>
      </c>
      <c r="G37" s="15">
        <f>'[1]2023'!E9/'[1]2023'!E26*100</f>
        <v>2.6849890105538283</v>
      </c>
    </row>
    <row r="38" spans="2:7" s="39" customFormat="1" ht="8.25" customHeight="1" x14ac:dyDescent="0.25">
      <c r="B38" s="13" t="s">
        <v>11</v>
      </c>
      <c r="C38" s="16" t="s">
        <v>15</v>
      </c>
      <c r="D38" s="14">
        <v>2023</v>
      </c>
      <c r="E38" s="15">
        <f>'[1]2023'!D11/'[1]2023'!D24*100</f>
        <v>12.880562060889931</v>
      </c>
      <c r="F38" s="15">
        <f>'[1]2023'!F11/'[1]2023'!F24*100</f>
        <v>17.031615204822241</v>
      </c>
      <c r="G38" s="15">
        <f>'[1]2023'!E11/'[1]2023'!E24*100</f>
        <v>10.951346406723458</v>
      </c>
    </row>
    <row r="39" spans="2:7" s="39" customFormat="1" ht="8.25" customHeight="1" x14ac:dyDescent="0.25">
      <c r="B39" s="13" t="s">
        <v>13</v>
      </c>
      <c r="C39" s="16" t="s">
        <v>15</v>
      </c>
      <c r="D39" s="14">
        <v>2023</v>
      </c>
      <c r="E39" s="15">
        <f>'[1]2023'!D12/'[1]2023'!D25*100</f>
        <v>11.068922476636004</v>
      </c>
      <c r="F39" s="15">
        <f>'[1]2023'!F12/'[1]2023'!F25*100</f>
        <v>14.033366045142296</v>
      </c>
      <c r="G39" s="15">
        <f>'[1]2023'!E12/'[1]2023'!E25*100</f>
        <v>9.8028649692397476</v>
      </c>
    </row>
    <row r="40" spans="2:7" s="39" customFormat="1" ht="8.25" customHeight="1" x14ac:dyDescent="0.25">
      <c r="B40" s="13" t="s">
        <v>14</v>
      </c>
      <c r="C40" s="16" t="s">
        <v>15</v>
      </c>
      <c r="D40" s="14">
        <v>2023</v>
      </c>
      <c r="E40" s="15">
        <f>'[1]2023'!D13/'[1]2023'!D26*100</f>
        <v>18.566704340910043</v>
      </c>
      <c r="F40" s="15">
        <f>'[1]2023'!F13/'[1]2023'!F26*100</f>
        <v>18.705435464919766</v>
      </c>
      <c r="G40" s="15">
        <f>'[1]2023'!E13/'[1]2023'!E26*100</f>
        <v>18.517994687727178</v>
      </c>
    </row>
    <row r="41" spans="2:7" s="39" customFormat="1" ht="8.25" customHeight="1" x14ac:dyDescent="0.25">
      <c r="B41" s="13" t="s">
        <v>11</v>
      </c>
      <c r="C41" s="16" t="s">
        <v>16</v>
      </c>
      <c r="D41" s="14">
        <v>2023</v>
      </c>
      <c r="E41" s="15">
        <f>'[1]2023'!D15/'[1]2023'!D24*100</f>
        <v>32.763466042154562</v>
      </c>
      <c r="F41" s="15">
        <f>'[1]2023'!F15/'[1]2023'!F24*100</f>
        <v>30.206667486775739</v>
      </c>
      <c r="G41" s="15">
        <f>'[1]2023'!E15/'[1]2023'!E24*100</f>
        <v>33.948887999542627</v>
      </c>
    </row>
    <row r="42" spans="2:7" s="39" customFormat="1" ht="8.25" customHeight="1" x14ac:dyDescent="0.25">
      <c r="B42" s="13" t="s">
        <v>13</v>
      </c>
      <c r="C42" s="16" t="s">
        <v>16</v>
      </c>
      <c r="D42" s="14">
        <v>2023</v>
      </c>
      <c r="E42" s="15">
        <f>'[1]2023'!D16/'[1]2023'!D25*100</f>
        <v>31.492883290154083</v>
      </c>
      <c r="F42" s="15">
        <f>'[1]2023'!F16/'[1]2023'!F25*100</f>
        <v>23.860928080751435</v>
      </c>
      <c r="G42" s="15">
        <f>'[1]2023'!E16/'[1]2023'!E25*100</f>
        <v>34.752346311015309</v>
      </c>
    </row>
    <row r="43" spans="2:7" s="39" customFormat="1" ht="8.25" customHeight="1" x14ac:dyDescent="0.25">
      <c r="B43" s="13" t="s">
        <v>14</v>
      </c>
      <c r="C43" s="16" t="s">
        <v>16</v>
      </c>
      <c r="D43" s="14">
        <v>2023</v>
      </c>
      <c r="E43" s="15">
        <f>'[1]2023'!D17/'[1]2023'!D26*100</f>
        <v>35.150906274854535</v>
      </c>
      <c r="F43" s="15">
        <f>'[1]2023'!F17/'[1]2023'!F26*100</f>
        <v>27.951520224049965</v>
      </c>
      <c r="G43" s="15">
        <f>'[1]2023'!E17/'[1]2023'!E26*100</f>
        <v>37.681495583006381</v>
      </c>
    </row>
    <row r="44" spans="2:7" s="39" customFormat="1" ht="8.25" customHeight="1" x14ac:dyDescent="0.25">
      <c r="B44" s="13" t="s">
        <v>11</v>
      </c>
      <c r="C44" s="16" t="s">
        <v>17</v>
      </c>
      <c r="D44" s="14">
        <v>2023</v>
      </c>
      <c r="E44" s="15">
        <f>'[1]2023'!D19/'[1]2023'!D24*100</f>
        <v>46.615925058548015</v>
      </c>
      <c r="F44" s="15">
        <f>'[1]2023'!F19/'[1]2023'!F24*100</f>
        <v>36.991019805634146</v>
      </c>
      <c r="G44" s="15">
        <f>'[1]2023'!E19/'[1]2023'!E24*100</f>
        <v>51.089131553370301</v>
      </c>
    </row>
    <row r="45" spans="2:7" s="39" customFormat="1" ht="8.25" customHeight="1" x14ac:dyDescent="0.25">
      <c r="B45" s="13" t="s">
        <v>13</v>
      </c>
      <c r="C45" s="16" t="s">
        <v>17</v>
      </c>
      <c r="D45" s="14">
        <v>2023</v>
      </c>
      <c r="E45" s="15">
        <f>'[1]2023'!D20/'[1]2023'!D25*100</f>
        <v>50.545946569609498</v>
      </c>
      <c r="F45" s="15">
        <f>'[1]2023'!F20/'[1]2023'!F25*100</f>
        <v>45.075704472171601</v>
      </c>
      <c r="G45" s="15">
        <f>'[1]2023'!E20/'[1]2023'!E25*100</f>
        <v>52.882183004774951</v>
      </c>
    </row>
    <row r="46" spans="2:7" s="39" customFormat="1" ht="8.25" customHeight="1" x14ac:dyDescent="0.25">
      <c r="B46" s="13" t="s">
        <v>14</v>
      </c>
      <c r="C46" s="16" t="s">
        <v>17</v>
      </c>
      <c r="D46" s="14">
        <v>2023</v>
      </c>
      <c r="E46" s="15">
        <f>'[1]2023'!D21/'[1]2023'!D26*100</f>
        <v>39.680396835363553</v>
      </c>
      <c r="F46" s="15">
        <f>'[1]2023'!F21/'[1]2023'!F26*100</f>
        <v>35.596903217499076</v>
      </c>
      <c r="G46" s="15">
        <f>'[1]2023'!E21/'[1]2023'!E26*100</f>
        <v>41.115520718712602</v>
      </c>
    </row>
    <row r="47" spans="2:7" s="39" customFormat="1" ht="8.25" customHeight="1" x14ac:dyDescent="0.25">
      <c r="B47" s="13" t="s">
        <v>11</v>
      </c>
      <c r="C47" s="13" t="s">
        <v>12</v>
      </c>
      <c r="D47" s="14">
        <v>2022</v>
      </c>
      <c r="E47" s="15">
        <f>'[1]2022'!D7/'[1]2022'!D24*100</f>
        <v>6.1678110089607818</v>
      </c>
      <c r="F47" s="15">
        <f>'[1]2022'!F7/'[1]2022'!F24*100</f>
        <v>14.976041033947496</v>
      </c>
      <c r="G47" s="15">
        <f>'[1]2022'!E7/'[1]2022'!E24*100</f>
        <v>2.6128136737248919</v>
      </c>
    </row>
    <row r="48" spans="2:7" s="39" customFormat="1" ht="8.25" customHeight="1" x14ac:dyDescent="0.25">
      <c r="B48" s="13" t="s">
        <v>13</v>
      </c>
      <c r="C48" s="13" t="s">
        <v>12</v>
      </c>
      <c r="D48" s="14">
        <v>2022</v>
      </c>
      <c r="E48" s="15">
        <f>'[1]2022'!D8/'[1]2022'!D25*100</f>
        <v>5.9559999576311577</v>
      </c>
      <c r="F48" s="15">
        <f>'[1]2022'!F8/'[1]2022'!F25*100</f>
        <v>13.783955857385397</v>
      </c>
      <c r="G48" s="15">
        <f>'[1]2022'!E8/'[1]2022'!E25*100</f>
        <v>2.6097343393259447</v>
      </c>
    </row>
    <row r="49" spans="2:7" s="39" customFormat="1" ht="8.25" customHeight="1" x14ac:dyDescent="0.25">
      <c r="B49" s="13" t="s">
        <v>14</v>
      </c>
      <c r="C49" s="13" t="s">
        <v>12</v>
      </c>
      <c r="D49" s="14">
        <v>2022</v>
      </c>
      <c r="E49" s="15">
        <f>'[1]2022'!D9/'[1]2022'!D26*100</f>
        <v>5.6222223156584663</v>
      </c>
      <c r="F49" s="15">
        <f>'[1]2022'!F9/'[1]2022'!F26*100</f>
        <v>15.487924569453648</v>
      </c>
      <c r="G49" s="15">
        <f>'[1]2022'!E9/'[1]2022'!E26*100</f>
        <v>2.3228673384653367</v>
      </c>
    </row>
    <row r="50" spans="2:7" s="39" customFormat="1" ht="8.25" customHeight="1" x14ac:dyDescent="0.25">
      <c r="B50" s="13" t="s">
        <v>11</v>
      </c>
      <c r="C50" s="16" t="s">
        <v>15</v>
      </c>
      <c r="D50" s="14">
        <v>2022</v>
      </c>
      <c r="E50" s="15">
        <f>'[1]2022'!D11/'[1]2022'!D24*100</f>
        <v>10.919740874355094</v>
      </c>
      <c r="F50" s="15">
        <f>'[1]2022'!F11/'[1]2022'!F24*100</f>
        <v>15.644192481608965</v>
      </c>
      <c r="G50" s="15">
        <f>'[1]2022'!E11/'[1]2022'!E24*100</f>
        <v>9.0142071743508794</v>
      </c>
    </row>
    <row r="51" spans="2:7" s="39" customFormat="1" ht="8.25" customHeight="1" x14ac:dyDescent="0.25">
      <c r="B51" s="13" t="s">
        <v>13</v>
      </c>
      <c r="C51" s="16" t="s">
        <v>15</v>
      </c>
      <c r="D51" s="14">
        <v>2022</v>
      </c>
      <c r="E51" s="15">
        <f>'[1]2022'!D12/'[1]2022'!D25*100</f>
        <v>10.458748636252899</v>
      </c>
      <c r="F51" s="15">
        <f>'[1]2022'!F12/'[1]2022'!F25*100</f>
        <v>12.860780984719863</v>
      </c>
      <c r="G51" s="15">
        <f>'[1]2022'!E12/'[1]2022'!E25*100</f>
        <v>9.4319367373784733</v>
      </c>
    </row>
    <row r="52" spans="2:7" s="39" customFormat="1" ht="8.25" customHeight="1" x14ac:dyDescent="0.25">
      <c r="B52" s="13" t="s">
        <v>14</v>
      </c>
      <c r="C52" s="16" t="s">
        <v>15</v>
      </c>
      <c r="D52" s="14">
        <v>2022</v>
      </c>
      <c r="E52" s="15">
        <f>'[1]2022'!D13/'[1]2022'!D26*100</f>
        <v>17.659870581458417</v>
      </c>
      <c r="F52" s="15">
        <f>'[1]2022'!F13/'[1]2022'!F26*100</f>
        <v>17.331745086360932</v>
      </c>
      <c r="G52" s="15">
        <f>'[1]2022'!E13/'[1]2022'!E26*100</f>
        <v>17.769654599726191</v>
      </c>
    </row>
    <row r="53" spans="2:7" s="39" customFormat="1" ht="8.25" customHeight="1" x14ac:dyDescent="0.25">
      <c r="B53" s="13" t="s">
        <v>11</v>
      </c>
      <c r="C53" s="16" t="s">
        <v>16</v>
      </c>
      <c r="D53" s="14">
        <v>2022</v>
      </c>
      <c r="E53" s="15">
        <f>'[1]2022'!D15/'[1]2022'!D24*100</f>
        <v>34.819038752472942</v>
      </c>
      <c r="F53" s="15">
        <f>'[1]2022'!F15/'[1]2022'!F24*100</f>
        <v>30.518998447728961</v>
      </c>
      <c r="G53" s="15">
        <f>'[1]2022'!E15/'[1]2022'!E24*100</f>
        <v>36.549452942137059</v>
      </c>
    </row>
    <row r="54" spans="2:7" s="39" customFormat="1" ht="8.25" customHeight="1" x14ac:dyDescent="0.25">
      <c r="B54" s="13" t="s">
        <v>13</v>
      </c>
      <c r="C54" s="16" t="s">
        <v>16</v>
      </c>
      <c r="D54" s="14">
        <v>2022</v>
      </c>
      <c r="E54" s="15">
        <f>'[1]2022'!D16/'[1]2022'!D25*100</f>
        <v>32.671673251490851</v>
      </c>
      <c r="F54" s="15">
        <f>'[1]2022'!F16/'[1]2022'!F25*100</f>
        <v>25.014148273910582</v>
      </c>
      <c r="G54" s="15">
        <f>'[1]2022'!E16/'[1]2022'!E25*100</f>
        <v>35.945083689916387</v>
      </c>
    </row>
    <row r="55" spans="2:7" s="39" customFormat="1" ht="8.25" customHeight="1" x14ac:dyDescent="0.25">
      <c r="B55" s="13" t="s">
        <v>14</v>
      </c>
      <c r="C55" s="16" t="s">
        <v>16</v>
      </c>
      <c r="D55" s="14">
        <v>2022</v>
      </c>
      <c r="E55" s="15">
        <f>'[1]2022'!D17/'[1]2022'!D26*100</f>
        <v>35.929833118196377</v>
      </c>
      <c r="F55" s="15">
        <f>'[1]2022'!F17/'[1]2022'!F26*100</f>
        <v>29.55649321779396</v>
      </c>
      <c r="G55" s="15">
        <f>'[1]2022'!E17/'[1]2022'!E26*100</f>
        <v>38.06135960679579</v>
      </c>
    </row>
    <row r="56" spans="2:7" s="39" customFormat="1" ht="8.25" customHeight="1" x14ac:dyDescent="0.25">
      <c r="B56" s="13" t="s">
        <v>11</v>
      </c>
      <c r="C56" s="16" t="s">
        <v>17</v>
      </c>
      <c r="D56" s="14">
        <v>2022</v>
      </c>
      <c r="E56" s="15">
        <f>'[1]2022'!D19/'[1]2022'!D24*100</f>
        <v>48.093409364211176</v>
      </c>
      <c r="F56" s="15">
        <f>'[1]2022'!F19/'[1]2022'!F24*100</f>
        <v>38.854019032192753</v>
      </c>
      <c r="G56" s="15">
        <f>'[1]2022'!E19/'[1]2022'!E24*100</f>
        <v>51.820804528877026</v>
      </c>
    </row>
    <row r="57" spans="2:7" s="39" customFormat="1" ht="8.25" customHeight="1" x14ac:dyDescent="0.25">
      <c r="B57" s="13" t="s">
        <v>13</v>
      </c>
      <c r="C57" s="16" t="s">
        <v>17</v>
      </c>
      <c r="D57" s="14">
        <v>2022</v>
      </c>
      <c r="E57" s="15">
        <f>'[1]2022'!D20/'[1]2022'!D25*100</f>
        <v>50.913578154625085</v>
      </c>
      <c r="F57" s="15">
        <f>'[1]2022'!F20/'[1]2022'!F25*100</f>
        <v>48.34111488398414</v>
      </c>
      <c r="G57" s="15">
        <f>'[1]2022'!E20/'[1]2022'!E25*100</f>
        <v>52.011733220436362</v>
      </c>
    </row>
    <row r="58" spans="2:7" s="39" customFormat="1" ht="8.25" customHeight="1" x14ac:dyDescent="0.25">
      <c r="B58" s="13" t="s">
        <v>14</v>
      </c>
      <c r="C58" s="16" t="s">
        <v>17</v>
      </c>
      <c r="D58" s="14">
        <v>2022</v>
      </c>
      <c r="E58" s="15">
        <f>'[1]2022'!D21/'[1]2022'!D26*100</f>
        <v>40.787863753137707</v>
      </c>
      <c r="F58" s="15">
        <f>'[1]2022'!F21/'[1]2022'!F26*100</f>
        <v>37.623837126391464</v>
      </c>
      <c r="G58" s="15">
        <f>'[1]2022'!E21/'[1]2022'!E26*100</f>
        <v>41.846118455012679</v>
      </c>
    </row>
    <row r="59" spans="2:7" s="39" customFormat="1" ht="8.25" customHeight="1" x14ac:dyDescent="0.25">
      <c r="B59" s="13" t="s">
        <v>11</v>
      </c>
      <c r="C59" s="13" t="s">
        <v>12</v>
      </c>
      <c r="D59" s="14">
        <v>2021</v>
      </c>
      <c r="E59" s="15">
        <f>'[1]2021'!D7/'[1]2021'!D24*100</f>
        <v>6.0801410796512201</v>
      </c>
      <c r="F59" s="15">
        <f>'[1]2021'!F7/'[1]2021'!F24*100</f>
        <v>13.32275424313509</v>
      </c>
      <c r="G59" s="15">
        <f>'[1]2021'!E7/'[1]2021'!E24*100</f>
        <v>3.2073561205221535</v>
      </c>
    </row>
    <row r="60" spans="2:7" s="39" customFormat="1" ht="8.25" customHeight="1" x14ac:dyDescent="0.25">
      <c r="B60" s="13" t="s">
        <v>13</v>
      </c>
      <c r="C60" s="13" t="s">
        <v>12</v>
      </c>
      <c r="D60" s="14">
        <v>2021</v>
      </c>
      <c r="E60" s="15">
        <f>'[1]2021'!D8/'[1]2021'!D25*100</f>
        <v>6.1689494780614327</v>
      </c>
      <c r="F60" s="15">
        <f>'[1]2021'!F8/'[1]2021'!F25*100</f>
        <v>14.350864288341306</v>
      </c>
      <c r="G60" s="15">
        <f>'[1]2021'!E8/'[1]2021'!E25*100</f>
        <v>2.8056324394633756</v>
      </c>
    </row>
    <row r="61" spans="2:7" s="39" customFormat="1" ht="8.25" customHeight="1" x14ac:dyDescent="0.25">
      <c r="B61" s="13" t="s">
        <v>14</v>
      </c>
      <c r="C61" s="13" t="s">
        <v>12</v>
      </c>
      <c r="D61" s="14">
        <v>2021</v>
      </c>
      <c r="E61" s="15">
        <f>'[1]2021'!D9/'[1]2021'!D26*100</f>
        <v>5.5177068478891007</v>
      </c>
      <c r="F61" s="15">
        <f>'[1]2021'!F9/'[1]2021'!F26*100</f>
        <v>15.136402349614981</v>
      </c>
      <c r="G61" s="15">
        <f>'[1]2021'!E9/'[1]2021'!E26*100</f>
        <v>2.4643833745411161</v>
      </c>
    </row>
    <row r="62" spans="2:7" s="39" customFormat="1" ht="8.25" customHeight="1" x14ac:dyDescent="0.25">
      <c r="B62" s="13" t="s">
        <v>11</v>
      </c>
      <c r="C62" s="16" t="s">
        <v>15</v>
      </c>
      <c r="D62" s="14">
        <v>2021</v>
      </c>
      <c r="E62" s="15">
        <f>'[1]2021'!D11/'[1]2021'!D24*100</f>
        <v>11.064955422749092</v>
      </c>
      <c r="F62" s="15">
        <f>'[1]2021'!F11/'[1]2021'!F24*100</f>
        <v>14.419759900648543</v>
      </c>
      <c r="G62" s="15">
        <f>'[1]2021'!E11/'[1]2021'!E24*100</f>
        <v>9.7342710927451357</v>
      </c>
    </row>
    <row r="63" spans="2:7" s="39" customFormat="1" ht="8.25" customHeight="1" x14ac:dyDescent="0.25">
      <c r="B63" s="13" t="s">
        <v>13</v>
      </c>
      <c r="C63" s="16" t="s">
        <v>15</v>
      </c>
      <c r="D63" s="14">
        <v>2021</v>
      </c>
      <c r="E63" s="15">
        <f>'[1]2021'!D12/'[1]2021'!D25*100</f>
        <v>10.703491736865796</v>
      </c>
      <c r="F63" s="15">
        <f>'[1]2021'!F12/'[1]2021'!F25*100</f>
        <v>13.920559029054802</v>
      </c>
      <c r="G63" s="15">
        <f>'[1]2021'!E12/'[1]2021'!E25*100</f>
        <v>9.3788284404918549</v>
      </c>
    </row>
    <row r="64" spans="2:7" s="39" customFormat="1" ht="8.25" customHeight="1" x14ac:dyDescent="0.25">
      <c r="B64" s="13" t="s">
        <v>14</v>
      </c>
      <c r="C64" s="16" t="s">
        <v>15</v>
      </c>
      <c r="D64" s="14">
        <v>2021</v>
      </c>
      <c r="E64" s="15">
        <f>'[1]2021'!D13/'[1]2021'!D26*100</f>
        <v>18.788004451572228</v>
      </c>
      <c r="F64" s="15">
        <f>'[1]2021'!F13/'[1]2021'!F26*100</f>
        <v>18.213028246305676</v>
      </c>
      <c r="G64" s="15">
        <f>'[1]2021'!E13/'[1]2021'!E26*100</f>
        <v>18.970539454942287</v>
      </c>
    </row>
    <row r="65" spans="2:11" s="39" customFormat="1" ht="8.25" customHeight="1" x14ac:dyDescent="0.25">
      <c r="B65" s="13" t="s">
        <v>11</v>
      </c>
      <c r="C65" s="16" t="s">
        <v>16</v>
      </c>
      <c r="D65" s="14">
        <v>2021</v>
      </c>
      <c r="E65" s="15">
        <f>'[1]2021'!D15/'[1]2021'!D24*100</f>
        <v>35.056333888507886</v>
      </c>
      <c r="F65" s="15">
        <f>'[1]2021'!F15/'[1]2021'!F24*100</f>
        <v>33.220643024699875</v>
      </c>
      <c r="G65" s="15">
        <f>'[1]2021'!E15/'[1]2021'!E24*100</f>
        <v>35.784461290057742</v>
      </c>
    </row>
    <row r="66" spans="2:11" s="39" customFormat="1" ht="8.25" customHeight="1" x14ac:dyDescent="0.25">
      <c r="B66" s="13" t="s">
        <v>13</v>
      </c>
      <c r="C66" s="16" t="s">
        <v>16</v>
      </c>
      <c r="D66" s="14">
        <v>2021</v>
      </c>
      <c r="E66" s="15">
        <f>'[1]2021'!D16/'[1]2021'!D25*100</f>
        <v>32.942147343150495</v>
      </c>
      <c r="F66" s="15">
        <f>'[1]2021'!F16/'[1]2021'!F25*100</f>
        <v>25.454211107024644</v>
      </c>
      <c r="G66" s="15">
        <f>'[1]2021'!E16/'[1]2021'!E25*100</f>
        <v>36.022505558328419</v>
      </c>
    </row>
    <row r="67" spans="2:11" s="39" customFormat="1" ht="8.25" customHeight="1" x14ac:dyDescent="0.25">
      <c r="B67" s="13" t="s">
        <v>14</v>
      </c>
      <c r="C67" s="16" t="s">
        <v>16</v>
      </c>
      <c r="D67" s="14">
        <v>2021</v>
      </c>
      <c r="E67" s="15">
        <f>'[1]2021'!D17/'[1]2021'!D26*100</f>
        <v>36.048848811574089</v>
      </c>
      <c r="F67" s="15">
        <f>'[1]2021'!F17/'[1]2021'!F26*100</f>
        <v>30.623139668630529</v>
      </c>
      <c r="G67" s="15">
        <f>'[1]2021'!E17/'[1]2021'!E26*100</f>
        <v>37.77132328551</v>
      </c>
    </row>
    <row r="68" spans="2:11" s="39" customFormat="1" ht="8.25" customHeight="1" x14ac:dyDescent="0.25">
      <c r="B68" s="13" t="s">
        <v>11</v>
      </c>
      <c r="C68" s="16" t="s">
        <v>17</v>
      </c>
      <c r="D68" s="14">
        <v>2021</v>
      </c>
      <c r="E68" s="15">
        <f>'[1]2021'!D19/'[1]2021'!D24*100</f>
        <v>47.79661016949153</v>
      </c>
      <c r="F68" s="15">
        <f>'[1]2021'!F19/'[1]2021'!F24*100</f>
        <v>39.029943424865458</v>
      </c>
      <c r="G68" s="15">
        <f>'[1]2021'!E19/'[1]2021'!E24*100</f>
        <v>51.27391149667497</v>
      </c>
    </row>
    <row r="69" spans="2:11" s="39" customFormat="1" ht="8.25" customHeight="1" x14ac:dyDescent="0.25">
      <c r="B69" s="13" t="s">
        <v>13</v>
      </c>
      <c r="C69" s="16" t="s">
        <v>17</v>
      </c>
      <c r="D69" s="14">
        <v>2021</v>
      </c>
      <c r="E69" s="15">
        <f>'[1]2021'!D20/'[1]2021'!D25*100</f>
        <v>50.185411441922277</v>
      </c>
      <c r="F69" s="15">
        <f>'[1]2021'!F20/'[1]2021'!F25*100</f>
        <v>46.27436557557926</v>
      </c>
      <c r="G69" s="15">
        <f>'[1]2021'!E20/'[1]2021'!E25*100</f>
        <v>51.793033561716349</v>
      </c>
    </row>
    <row r="70" spans="2:11" s="39" customFormat="1" ht="8.25" customHeight="1" x14ac:dyDescent="0.25">
      <c r="B70" s="13" t="s">
        <v>14</v>
      </c>
      <c r="C70" s="16" t="s">
        <v>17</v>
      </c>
      <c r="D70" s="14">
        <v>2021</v>
      </c>
      <c r="E70" s="15">
        <f>'[1]2021'!D21/'[1]2021'!D26*100</f>
        <v>39.645228312337878</v>
      </c>
      <c r="F70" s="15">
        <f>'[1]2021'!F21/'[1]2021'!F26*100</f>
        <v>36.027429735448798</v>
      </c>
      <c r="G70" s="15">
        <f>'[1]2021'!E21/'[1]2021'!E26*100</f>
        <v>40.793753885006588</v>
      </c>
    </row>
    <row r="71" spans="2:11" s="39" customFormat="1" ht="8.25" customHeight="1" x14ac:dyDescent="0.25">
      <c r="B71" s="13" t="s">
        <v>11</v>
      </c>
      <c r="C71" s="13" t="s">
        <v>12</v>
      </c>
      <c r="D71" s="14">
        <v>2019</v>
      </c>
      <c r="E71" s="15">
        <v>4.6753504681455125</v>
      </c>
      <c r="F71" s="15">
        <v>11.065251276790905</v>
      </c>
      <c r="G71" s="15">
        <v>2.3615485127004585</v>
      </c>
      <c r="I71" s="40"/>
      <c r="J71" s="40"/>
      <c r="K71" s="40"/>
    </row>
    <row r="72" spans="2:11" s="39" customFormat="1" ht="8.25" customHeight="1" x14ac:dyDescent="0.25">
      <c r="B72" s="13" t="s">
        <v>13</v>
      </c>
      <c r="C72" s="13" t="s">
        <v>12</v>
      </c>
      <c r="D72" s="14">
        <v>2019</v>
      </c>
      <c r="E72" s="15">
        <v>4.7491300663414506</v>
      </c>
      <c r="F72" s="15">
        <v>11.732429157162567</v>
      </c>
      <c r="G72" s="15">
        <v>1.8385398544695397</v>
      </c>
      <c r="I72" s="40"/>
      <c r="J72" s="40"/>
      <c r="K72" s="40"/>
    </row>
    <row r="73" spans="2:11" s="39" customFormat="1" ht="8.25" customHeight="1" x14ac:dyDescent="0.25">
      <c r="B73" s="13" t="s">
        <v>14</v>
      </c>
      <c r="C73" s="13" t="s">
        <v>12</v>
      </c>
      <c r="D73" s="14">
        <v>2019</v>
      </c>
      <c r="E73" s="15">
        <v>4.1453676331601041</v>
      </c>
      <c r="F73" s="15">
        <v>11.564406055663891</v>
      </c>
      <c r="G73" s="15">
        <v>1.9346383338033166</v>
      </c>
      <c r="I73" s="40"/>
      <c r="J73" s="40"/>
      <c r="K73" s="40"/>
    </row>
    <row r="74" spans="2:11" s="39" customFormat="1" ht="8.25" customHeight="1" x14ac:dyDescent="0.25">
      <c r="B74" s="13" t="s">
        <v>11</v>
      </c>
      <c r="C74" s="16" t="s">
        <v>15</v>
      </c>
      <c r="D74" s="14">
        <v>2019</v>
      </c>
      <c r="E74" s="15">
        <v>12.239844321392724</v>
      </c>
      <c r="F74" s="15">
        <v>17.640449721065899</v>
      </c>
      <c r="G74" s="15">
        <v>10.284271441944323</v>
      </c>
      <c r="I74" s="40"/>
      <c r="J74" s="40"/>
      <c r="K74" s="40"/>
    </row>
    <row r="75" spans="2:11" s="39" customFormat="1" ht="8.25" customHeight="1" x14ac:dyDescent="0.25">
      <c r="B75" s="13" t="s">
        <v>13</v>
      </c>
      <c r="C75" s="16" t="s">
        <v>15</v>
      </c>
      <c r="D75" s="14">
        <v>2019</v>
      </c>
      <c r="E75" s="15">
        <v>13.776773099118131</v>
      </c>
      <c r="F75" s="15">
        <v>17.930100349646338</v>
      </c>
      <c r="G75" s="15">
        <v>12.04569535421993</v>
      </c>
      <c r="I75" s="40"/>
      <c r="J75" s="40"/>
      <c r="K75" s="40"/>
    </row>
    <row r="76" spans="2:11" s="39" customFormat="1" ht="8.25" customHeight="1" x14ac:dyDescent="0.25">
      <c r="B76" s="13" t="s">
        <v>14</v>
      </c>
      <c r="C76" s="16" t="s">
        <v>15</v>
      </c>
      <c r="D76" s="14">
        <v>2019</v>
      </c>
      <c r="E76" s="15">
        <v>22.440954867361455</v>
      </c>
      <c r="F76" s="15">
        <v>24.277499474042926</v>
      </c>
      <c r="G76" s="15">
        <v>21.893700258293645</v>
      </c>
      <c r="I76" s="40"/>
      <c r="J76" s="40"/>
      <c r="K76" s="40"/>
    </row>
    <row r="77" spans="2:11" s="39" customFormat="1" ht="8.25" customHeight="1" x14ac:dyDescent="0.25">
      <c r="B77" s="13" t="s">
        <v>11</v>
      </c>
      <c r="C77" s="16" t="s">
        <v>16</v>
      </c>
      <c r="D77" s="14">
        <v>2019</v>
      </c>
      <c r="E77" s="15">
        <v>35.286522128373356</v>
      </c>
      <c r="F77" s="15">
        <v>33.653187930570994</v>
      </c>
      <c r="G77" s="15">
        <v>35.877957534518096</v>
      </c>
      <c r="I77" s="40"/>
      <c r="J77" s="40"/>
      <c r="K77" s="40"/>
    </row>
    <row r="78" spans="2:11" s="39" customFormat="1" ht="8.25" customHeight="1" x14ac:dyDescent="0.25">
      <c r="B78" s="13" t="s">
        <v>13</v>
      </c>
      <c r="C78" s="16" t="s">
        <v>16</v>
      </c>
      <c r="D78" s="14">
        <v>2019</v>
      </c>
      <c r="E78" s="15">
        <v>35.471306016720987</v>
      </c>
      <c r="F78" s="15">
        <v>27.863966188416445</v>
      </c>
      <c r="G78" s="15">
        <v>38.641993555511853</v>
      </c>
      <c r="I78" s="40"/>
      <c r="J78" s="40"/>
      <c r="K78" s="40"/>
    </row>
    <row r="79" spans="2:11" s="39" customFormat="1" ht="8.25" customHeight="1" x14ac:dyDescent="0.25">
      <c r="B79" s="13" t="s">
        <v>14</v>
      </c>
      <c r="C79" s="16" t="s">
        <v>16</v>
      </c>
      <c r="D79" s="14">
        <v>2019</v>
      </c>
      <c r="E79" s="15">
        <v>36.856788663031125</v>
      </c>
      <c r="F79" s="15">
        <v>30.426187195895714</v>
      </c>
      <c r="G79" s="15">
        <v>38.772982954836024</v>
      </c>
      <c r="I79" s="40"/>
      <c r="J79" s="40"/>
      <c r="K79" s="40"/>
    </row>
    <row r="80" spans="2:11" s="39" customFormat="1" ht="8.25" customHeight="1" x14ac:dyDescent="0.25">
      <c r="B80" s="13" t="s">
        <v>11</v>
      </c>
      <c r="C80" s="16" t="s">
        <v>17</v>
      </c>
      <c r="D80" s="14">
        <v>2019</v>
      </c>
      <c r="E80" s="15">
        <v>47.798283082088417</v>
      </c>
      <c r="F80" s="15">
        <v>37.641111071572212</v>
      </c>
      <c r="G80" s="15">
        <v>51.476222510837118</v>
      </c>
      <c r="I80" s="40"/>
      <c r="J80" s="40"/>
      <c r="K80" s="40"/>
    </row>
    <row r="81" spans="2:11" s="39" customFormat="1" ht="8.25" customHeight="1" x14ac:dyDescent="0.25">
      <c r="B81" s="13" t="s">
        <v>13</v>
      </c>
      <c r="C81" s="16" t="s">
        <v>17</v>
      </c>
      <c r="D81" s="14">
        <v>2019</v>
      </c>
      <c r="E81" s="15">
        <v>46.002790817819431</v>
      </c>
      <c r="F81" s="15">
        <v>42.47350430477465</v>
      </c>
      <c r="G81" s="15">
        <v>47.473771235798679</v>
      </c>
      <c r="I81" s="40"/>
      <c r="J81" s="40"/>
      <c r="K81" s="40"/>
    </row>
    <row r="82" spans="2:11" s="39" customFormat="1" ht="8.25" customHeight="1" x14ac:dyDescent="0.25">
      <c r="B82" s="13" t="s">
        <v>14</v>
      </c>
      <c r="C82" s="16" t="s">
        <v>17</v>
      </c>
      <c r="D82" s="14">
        <v>2019</v>
      </c>
      <c r="E82" s="15">
        <v>36.556889042567576</v>
      </c>
      <c r="F82" s="15">
        <v>33.731907274397457</v>
      </c>
      <c r="G82" s="15">
        <v>37.398678453067021</v>
      </c>
      <c r="I82" s="40"/>
      <c r="J82" s="40"/>
      <c r="K82" s="40"/>
    </row>
    <row r="83" spans="2:11" s="39" customFormat="1" ht="8.25" customHeight="1" x14ac:dyDescent="0.25">
      <c r="B83" s="13" t="s">
        <v>11</v>
      </c>
      <c r="C83" s="13" t="s">
        <v>12</v>
      </c>
      <c r="D83" s="14">
        <v>2018</v>
      </c>
      <c r="E83" s="17">
        <v>4.6982988886806689</v>
      </c>
      <c r="F83" s="17">
        <v>11.588400684422339</v>
      </c>
      <c r="G83" s="17">
        <v>2.2291467436960244</v>
      </c>
      <c r="K83" s="40"/>
    </row>
    <row r="84" spans="2:11" s="39" customFormat="1" ht="8.25" customHeight="1" x14ac:dyDescent="0.25">
      <c r="B84" s="13" t="s">
        <v>13</v>
      </c>
      <c r="C84" s="13" t="s">
        <v>12</v>
      </c>
      <c r="D84" s="14">
        <v>2018</v>
      </c>
      <c r="E84" s="17">
        <v>4.6485415868115689</v>
      </c>
      <c r="F84" s="17">
        <v>10.931888033752587</v>
      </c>
      <c r="G84" s="17">
        <v>1.9928666094218581</v>
      </c>
      <c r="K84" s="40"/>
    </row>
    <row r="85" spans="2:11" s="39" customFormat="1" ht="8.25" customHeight="1" x14ac:dyDescent="0.25">
      <c r="B85" s="13" t="s">
        <v>14</v>
      </c>
      <c r="C85" s="13" t="s">
        <v>12</v>
      </c>
      <c r="D85" s="14">
        <v>2018</v>
      </c>
      <c r="E85" s="17">
        <v>4.2069623894442829</v>
      </c>
      <c r="F85" s="17">
        <v>11.927085726257943</v>
      </c>
      <c r="G85" s="17">
        <v>1.9130584896634324</v>
      </c>
      <c r="K85" s="40"/>
    </row>
    <row r="86" spans="2:11" s="39" customFormat="1" ht="8.25" customHeight="1" x14ac:dyDescent="0.25">
      <c r="B86" s="13" t="s">
        <v>11</v>
      </c>
      <c r="C86" s="16" t="s">
        <v>15</v>
      </c>
      <c r="D86" s="14">
        <v>2018</v>
      </c>
      <c r="E86" s="17">
        <v>12.901467185689915</v>
      </c>
      <c r="F86" s="17">
        <v>15.993024935607295</v>
      </c>
      <c r="G86" s="17">
        <v>11.793569434524862</v>
      </c>
      <c r="K86" s="40"/>
    </row>
    <row r="87" spans="2:11" s="39" customFormat="1" ht="8.25" customHeight="1" x14ac:dyDescent="0.25">
      <c r="B87" s="13" t="s">
        <v>13</v>
      </c>
      <c r="C87" s="16" t="s">
        <v>15</v>
      </c>
      <c r="D87" s="14">
        <v>2018</v>
      </c>
      <c r="E87" s="17">
        <v>14.804143160272476</v>
      </c>
      <c r="F87" s="17">
        <v>18.645115069236038</v>
      </c>
      <c r="G87" s="17">
        <v>13.1807434985902</v>
      </c>
      <c r="K87" s="40"/>
    </row>
    <row r="88" spans="2:11" s="39" customFormat="1" ht="8.25" customHeight="1" x14ac:dyDescent="0.25">
      <c r="B88" s="13" t="s">
        <v>14</v>
      </c>
      <c r="C88" s="16" t="s">
        <v>15</v>
      </c>
      <c r="D88" s="14">
        <v>2018</v>
      </c>
      <c r="E88" s="17">
        <v>23.580572938868478</v>
      </c>
      <c r="F88" s="17">
        <v>24.295397982816738</v>
      </c>
      <c r="G88" s="17">
        <v>23.368174845770174</v>
      </c>
      <c r="K88" s="40"/>
    </row>
    <row r="89" spans="2:11" s="39" customFormat="1" ht="8.25" customHeight="1" x14ac:dyDescent="0.25">
      <c r="B89" s="13" t="s">
        <v>11</v>
      </c>
      <c r="C89" s="16" t="s">
        <v>16</v>
      </c>
      <c r="D89" s="14">
        <v>2018</v>
      </c>
      <c r="E89" s="17">
        <v>35.555640135686318</v>
      </c>
      <c r="F89" s="17">
        <v>33.721869100749835</v>
      </c>
      <c r="G89" s="17">
        <v>36.212795946112124</v>
      </c>
      <c r="K89" s="40"/>
    </row>
    <row r="90" spans="2:11" s="39" customFormat="1" ht="8.25" customHeight="1" x14ac:dyDescent="0.25">
      <c r="B90" s="13" t="s">
        <v>13</v>
      </c>
      <c r="C90" s="16" t="s">
        <v>16</v>
      </c>
      <c r="D90" s="14">
        <v>2018</v>
      </c>
      <c r="E90" s="17">
        <v>36.077299684801908</v>
      </c>
      <c r="F90" s="17">
        <v>28.394148695037224</v>
      </c>
      <c r="G90" s="17">
        <v>39.324606196280122</v>
      </c>
      <c r="K90" s="40"/>
    </row>
    <row r="91" spans="2:11" s="39" customFormat="1" ht="8.25" customHeight="1" x14ac:dyDescent="0.25">
      <c r="B91" s="13" t="s">
        <v>14</v>
      </c>
      <c r="C91" s="16" t="s">
        <v>16</v>
      </c>
      <c r="D91" s="14">
        <v>2018</v>
      </c>
      <c r="E91" s="17">
        <v>36.964359350671153</v>
      </c>
      <c r="F91" s="17">
        <v>31.001462151868665</v>
      </c>
      <c r="G91" s="17">
        <v>38.73613337230266</v>
      </c>
      <c r="K91" s="40"/>
    </row>
    <row r="92" spans="2:11" s="39" customFormat="1" ht="8.25" customHeight="1" x14ac:dyDescent="0.25">
      <c r="B92" s="13" t="s">
        <v>11</v>
      </c>
      <c r="C92" s="16" t="s">
        <v>17</v>
      </c>
      <c r="D92" s="14">
        <v>2018</v>
      </c>
      <c r="E92" s="17">
        <v>46.844593789943104</v>
      </c>
      <c r="F92" s="17">
        <v>38.696712165588501</v>
      </c>
      <c r="G92" s="17">
        <v>49.764487875666994</v>
      </c>
      <c r="K92" s="40"/>
    </row>
    <row r="93" spans="2:11" s="39" customFormat="1" ht="8.25" customHeight="1" x14ac:dyDescent="0.25">
      <c r="B93" s="13" t="s">
        <v>13</v>
      </c>
      <c r="C93" s="16" t="s">
        <v>17</v>
      </c>
      <c r="D93" s="14">
        <v>2018</v>
      </c>
      <c r="E93" s="17">
        <v>44.470015568114043</v>
      </c>
      <c r="F93" s="17">
        <v>42.028844621451178</v>
      </c>
      <c r="G93" s="17">
        <v>45.501782182389192</v>
      </c>
      <c r="K93" s="40"/>
    </row>
    <row r="94" spans="2:11" s="39" customFormat="1" ht="8.25" customHeight="1" x14ac:dyDescent="0.25">
      <c r="B94" s="13" t="s">
        <v>14</v>
      </c>
      <c r="C94" s="16" t="s">
        <v>17</v>
      </c>
      <c r="D94" s="14">
        <v>2018</v>
      </c>
      <c r="E94" s="17">
        <v>35.248105114006158</v>
      </c>
      <c r="F94" s="17">
        <v>32.77605413905664</v>
      </c>
      <c r="G94" s="17">
        <v>35.982633292263735</v>
      </c>
      <c r="K94" s="40"/>
    </row>
    <row r="95" spans="2:11" s="39" customFormat="1" ht="8.25" customHeight="1" x14ac:dyDescent="0.25">
      <c r="B95" s="13" t="s">
        <v>11</v>
      </c>
      <c r="C95" s="13" t="s">
        <v>12</v>
      </c>
      <c r="D95" s="14">
        <v>2017</v>
      </c>
      <c r="E95" s="18">
        <v>4.9194793575994309</v>
      </c>
      <c r="F95" s="18">
        <v>12.042580112442936</v>
      </c>
      <c r="G95" s="18">
        <v>2.3349766564321568</v>
      </c>
      <c r="H95" s="40"/>
      <c r="I95" s="40"/>
      <c r="J95" s="40"/>
      <c r="K95" s="40"/>
    </row>
    <row r="96" spans="2:11" s="39" customFormat="1" ht="8.25" customHeight="1" x14ac:dyDescent="0.25">
      <c r="B96" s="13" t="s">
        <v>13</v>
      </c>
      <c r="C96" s="13" t="s">
        <v>12</v>
      </c>
      <c r="D96" s="14">
        <v>2017</v>
      </c>
      <c r="E96" s="18">
        <v>4.6497542305345041</v>
      </c>
      <c r="F96" s="18">
        <v>10.305310008719477</v>
      </c>
      <c r="G96" s="18">
        <v>2.190582010262685</v>
      </c>
      <c r="H96" s="40"/>
      <c r="I96" s="40"/>
      <c r="J96" s="40"/>
      <c r="K96" s="40"/>
    </row>
    <row r="97" spans="2:11" s="39" customFormat="1" ht="8.25" customHeight="1" x14ac:dyDescent="0.25">
      <c r="B97" s="13" t="s">
        <v>14</v>
      </c>
      <c r="C97" s="13" t="s">
        <v>12</v>
      </c>
      <c r="D97" s="14">
        <v>2017</v>
      </c>
      <c r="E97" s="18">
        <v>4.2201512220133068</v>
      </c>
      <c r="F97" s="18">
        <v>11.767440727347701</v>
      </c>
      <c r="G97" s="18">
        <v>1.994779674772662</v>
      </c>
      <c r="H97" s="40"/>
      <c r="I97" s="40"/>
      <c r="J97" s="40"/>
      <c r="K97" s="40"/>
    </row>
    <row r="98" spans="2:11" s="39" customFormat="1" ht="8.25" customHeight="1" x14ac:dyDescent="0.25">
      <c r="B98" s="13" t="s">
        <v>11</v>
      </c>
      <c r="C98" s="16" t="s">
        <v>15</v>
      </c>
      <c r="D98" s="14">
        <v>2017</v>
      </c>
      <c r="E98" s="18">
        <v>13.041924457911779</v>
      </c>
      <c r="F98" s="18">
        <v>17.587709626698761</v>
      </c>
      <c r="G98" s="18">
        <v>11.39255908457678</v>
      </c>
      <c r="H98" s="40"/>
      <c r="I98" s="40"/>
      <c r="J98" s="40"/>
      <c r="K98" s="40"/>
    </row>
    <row r="99" spans="2:11" s="39" customFormat="1" ht="8.25" customHeight="1" x14ac:dyDescent="0.25">
      <c r="B99" s="13" t="s">
        <v>13</v>
      </c>
      <c r="C99" s="16" t="s">
        <v>15</v>
      </c>
      <c r="D99" s="14">
        <v>2017</v>
      </c>
      <c r="E99" s="18">
        <v>15.161176107752899</v>
      </c>
      <c r="F99" s="18">
        <v>20.733476648050956</v>
      </c>
      <c r="G99" s="18">
        <v>12.738203781254084</v>
      </c>
      <c r="H99" s="40"/>
      <c r="I99" s="40"/>
      <c r="J99" s="40"/>
      <c r="K99" s="40"/>
    </row>
    <row r="100" spans="2:11" s="39" customFormat="1" ht="8.25" customHeight="1" x14ac:dyDescent="0.25">
      <c r="B100" s="13" t="s">
        <v>14</v>
      </c>
      <c r="C100" s="16" t="s">
        <v>15</v>
      </c>
      <c r="D100" s="14">
        <v>2017</v>
      </c>
      <c r="E100" s="18">
        <v>24.857437515128886</v>
      </c>
      <c r="F100" s="18">
        <v>25.707863216386546</v>
      </c>
      <c r="G100" s="18">
        <v>24.606683498434101</v>
      </c>
      <c r="H100" s="40"/>
      <c r="I100" s="40"/>
      <c r="J100" s="40"/>
      <c r="K100" s="40"/>
    </row>
    <row r="101" spans="2:11" s="39" customFormat="1" ht="8.25" customHeight="1" x14ac:dyDescent="0.25">
      <c r="B101" s="13" t="s">
        <v>11</v>
      </c>
      <c r="C101" s="16" t="s">
        <v>16</v>
      </c>
      <c r="D101" s="14">
        <v>2017</v>
      </c>
      <c r="E101" s="18">
        <v>37.025788824263287</v>
      </c>
      <c r="F101" s="18">
        <v>33.292821616146412</v>
      </c>
      <c r="G101" s="18">
        <v>38.380235070800403</v>
      </c>
      <c r="H101" s="40"/>
      <c r="I101" s="40"/>
      <c r="J101" s="40"/>
      <c r="K101" s="40"/>
    </row>
    <row r="102" spans="2:11" s="39" customFormat="1" ht="8.25" customHeight="1" x14ac:dyDescent="0.25">
      <c r="B102" s="13" t="s">
        <v>13</v>
      </c>
      <c r="C102" s="16" t="s">
        <v>16</v>
      </c>
      <c r="D102" s="14">
        <v>2017</v>
      </c>
      <c r="E102" s="18">
        <v>36.989414778270813</v>
      </c>
      <c r="F102" s="18">
        <v>31.448776066667673</v>
      </c>
      <c r="G102" s="18">
        <v>39.398621285002122</v>
      </c>
      <c r="H102" s="40"/>
      <c r="I102" s="40"/>
      <c r="J102" s="40"/>
      <c r="K102" s="40"/>
    </row>
    <row r="103" spans="2:11" s="39" customFormat="1" ht="8.25" customHeight="1" x14ac:dyDescent="0.25">
      <c r="B103" s="13" t="s">
        <v>14</v>
      </c>
      <c r="C103" s="16" t="s">
        <v>16</v>
      </c>
      <c r="D103" s="14">
        <v>2017</v>
      </c>
      <c r="E103" s="18">
        <v>36.642055491221164</v>
      </c>
      <c r="F103" s="18">
        <v>31.371177984427728</v>
      </c>
      <c r="G103" s="18">
        <v>38.196210903481202</v>
      </c>
      <c r="H103" s="40"/>
      <c r="I103" s="40"/>
      <c r="J103" s="40"/>
      <c r="K103" s="40"/>
    </row>
    <row r="104" spans="2:11" s="39" customFormat="1" ht="8.25" customHeight="1" x14ac:dyDescent="0.25">
      <c r="B104" s="13" t="s">
        <v>11</v>
      </c>
      <c r="C104" s="16" t="s">
        <v>17</v>
      </c>
      <c r="D104" s="14">
        <v>2017</v>
      </c>
      <c r="E104" s="18">
        <v>45.012807360225494</v>
      </c>
      <c r="F104" s="18">
        <v>37.076888644711886</v>
      </c>
      <c r="G104" s="18">
        <v>47.892229188190669</v>
      </c>
      <c r="H104" s="40"/>
      <c r="I104" s="40"/>
      <c r="J104" s="40"/>
      <c r="K104" s="40"/>
    </row>
    <row r="105" spans="2:11" s="39" customFormat="1" ht="8.25" customHeight="1" x14ac:dyDescent="0.25">
      <c r="B105" s="13" t="s">
        <v>13</v>
      </c>
      <c r="C105" s="16" t="s">
        <v>17</v>
      </c>
      <c r="D105" s="14">
        <v>2017</v>
      </c>
      <c r="E105" s="18">
        <v>43.19965382659155</v>
      </c>
      <c r="F105" s="18">
        <v>37.512437276561897</v>
      </c>
      <c r="G105" s="18">
        <v>45.672594439875638</v>
      </c>
      <c r="H105" s="40"/>
      <c r="I105" s="40"/>
      <c r="J105" s="40"/>
      <c r="K105" s="40"/>
    </row>
    <row r="106" spans="2:11" s="39" customFormat="1" ht="8.25" customHeight="1" x14ac:dyDescent="0.25">
      <c r="B106" s="13" t="s">
        <v>14</v>
      </c>
      <c r="C106" s="16" t="s">
        <v>17</v>
      </c>
      <c r="D106" s="14">
        <v>2017</v>
      </c>
      <c r="E106" s="18">
        <v>34.280355771636643</v>
      </c>
      <c r="F106" s="18">
        <v>31.153517170875585</v>
      </c>
      <c r="G106" s="18">
        <v>35.202325923312038</v>
      </c>
      <c r="H106" s="40"/>
      <c r="I106" s="40"/>
      <c r="J106" s="40"/>
      <c r="K106" s="40"/>
    </row>
    <row r="107" spans="2:11" s="39" customFormat="1" ht="8.25" customHeight="1" x14ac:dyDescent="0.25">
      <c r="B107" s="13" t="s">
        <v>11</v>
      </c>
      <c r="C107" s="13" t="s">
        <v>12</v>
      </c>
      <c r="D107" s="14">
        <v>2016</v>
      </c>
      <c r="E107" s="19">
        <v>4.9161793714797044</v>
      </c>
      <c r="F107" s="19">
        <v>11.503349933337789</v>
      </c>
      <c r="G107" s="19">
        <v>2.8693745396851096</v>
      </c>
      <c r="H107" s="40"/>
      <c r="I107" s="40"/>
      <c r="J107" s="40"/>
      <c r="K107" s="40"/>
    </row>
    <row r="108" spans="2:11" s="39" customFormat="1" ht="8.25" customHeight="1" x14ac:dyDescent="0.25">
      <c r="B108" s="13" t="s">
        <v>13</v>
      </c>
      <c r="C108" s="13" t="s">
        <v>12</v>
      </c>
      <c r="D108" s="14">
        <v>2016</v>
      </c>
      <c r="E108" s="19">
        <v>4.7669176494593097</v>
      </c>
      <c r="F108" s="19">
        <v>11.762322892636114</v>
      </c>
      <c r="G108" s="19">
        <v>2.2480152377796392</v>
      </c>
      <c r="H108" s="40"/>
      <c r="I108" s="40"/>
      <c r="J108" s="40"/>
      <c r="K108" s="40"/>
    </row>
    <row r="109" spans="2:11" s="39" customFormat="1" ht="8.25" customHeight="1" x14ac:dyDescent="0.25">
      <c r="B109" s="13" t="s">
        <v>14</v>
      </c>
      <c r="C109" s="13" t="s">
        <v>12</v>
      </c>
      <c r="D109" s="14">
        <v>2016</v>
      </c>
      <c r="E109" s="19">
        <v>4.1379483478909744</v>
      </c>
      <c r="F109" s="19">
        <v>11.962367125153166</v>
      </c>
      <c r="G109" s="19">
        <v>2.1814518113725949</v>
      </c>
      <c r="H109" s="40"/>
      <c r="I109" s="40"/>
      <c r="J109" s="40"/>
      <c r="K109" s="40"/>
    </row>
    <row r="110" spans="2:11" s="39" customFormat="1" ht="8.25" customHeight="1" x14ac:dyDescent="0.25">
      <c r="B110" s="13" t="s">
        <v>11</v>
      </c>
      <c r="C110" s="16" t="s">
        <v>15</v>
      </c>
      <c r="D110" s="14">
        <v>2016</v>
      </c>
      <c r="E110" s="19">
        <v>13.862605167744283</v>
      </c>
      <c r="F110" s="19">
        <v>19.265424417086439</v>
      </c>
      <c r="G110" s="19">
        <v>12.183810954144603</v>
      </c>
      <c r="H110" s="40"/>
      <c r="I110" s="40"/>
      <c r="J110" s="40"/>
      <c r="K110" s="40"/>
    </row>
    <row r="111" spans="2:11" s="39" customFormat="1" ht="8.25" customHeight="1" x14ac:dyDescent="0.25">
      <c r="B111" s="13" t="s">
        <v>13</v>
      </c>
      <c r="C111" s="16" t="s">
        <v>15</v>
      </c>
      <c r="D111" s="14">
        <v>2016</v>
      </c>
      <c r="E111" s="19">
        <v>15.520749309986433</v>
      </c>
      <c r="F111" s="19">
        <v>20.549656059974257</v>
      </c>
      <c r="G111" s="19">
        <v>13.709942976140971</v>
      </c>
      <c r="H111" s="40"/>
      <c r="I111" s="40"/>
      <c r="J111" s="40"/>
      <c r="K111" s="40"/>
    </row>
    <row r="112" spans="2:11" s="39" customFormat="1" ht="8.25" customHeight="1" x14ac:dyDescent="0.25">
      <c r="B112" s="13" t="s">
        <v>14</v>
      </c>
      <c r="C112" s="16" t="s">
        <v>15</v>
      </c>
      <c r="D112" s="14">
        <v>2016</v>
      </c>
      <c r="E112" s="19">
        <v>26.046419111220899</v>
      </c>
      <c r="F112" s="19">
        <v>27.227208017671156</v>
      </c>
      <c r="G112" s="19">
        <v>25.751162968500303</v>
      </c>
      <c r="H112" s="40"/>
      <c r="I112" s="40"/>
      <c r="J112" s="40"/>
      <c r="K112" s="40"/>
    </row>
    <row r="113" spans="2:11" s="39" customFormat="1" ht="8.25" customHeight="1" x14ac:dyDescent="0.25">
      <c r="B113" s="13" t="s">
        <v>11</v>
      </c>
      <c r="C113" s="16" t="s">
        <v>16</v>
      </c>
      <c r="D113" s="14">
        <v>2016</v>
      </c>
      <c r="E113" s="19">
        <v>37.66057100147269</v>
      </c>
      <c r="F113" s="19">
        <v>33.006016345995434</v>
      </c>
      <c r="G113" s="19">
        <v>39.106860255633862</v>
      </c>
      <c r="H113" s="40"/>
      <c r="I113" s="40"/>
      <c r="J113" s="40"/>
      <c r="K113" s="40"/>
    </row>
    <row r="114" spans="2:11" s="39" customFormat="1" ht="8.25" customHeight="1" x14ac:dyDescent="0.25">
      <c r="B114" s="13" t="s">
        <v>13</v>
      </c>
      <c r="C114" s="16" t="s">
        <v>16</v>
      </c>
      <c r="D114" s="14">
        <v>2016</v>
      </c>
      <c r="E114" s="19">
        <v>36.793473862136686</v>
      </c>
      <c r="F114" s="19">
        <v>30.999665009714722</v>
      </c>
      <c r="G114" s="19">
        <v>38.879705125856184</v>
      </c>
      <c r="H114" s="40"/>
      <c r="I114" s="40"/>
      <c r="J114" s="40"/>
      <c r="K114" s="40"/>
    </row>
    <row r="115" spans="2:11" s="39" customFormat="1" ht="8.25" customHeight="1" x14ac:dyDescent="0.25">
      <c r="B115" s="13" t="s">
        <v>14</v>
      </c>
      <c r="C115" s="16" t="s">
        <v>16</v>
      </c>
      <c r="D115" s="14">
        <v>2016</v>
      </c>
      <c r="E115" s="19">
        <v>36.519866080217575</v>
      </c>
      <c r="F115" s="19">
        <v>31.076589278281414</v>
      </c>
      <c r="G115" s="19">
        <v>37.880958310287554</v>
      </c>
      <c r="H115" s="40"/>
      <c r="I115" s="40"/>
      <c r="J115" s="40"/>
      <c r="K115" s="40"/>
    </row>
    <row r="116" spans="2:11" s="39" customFormat="1" ht="8.25" customHeight="1" x14ac:dyDescent="0.25">
      <c r="B116" s="13" t="s">
        <v>11</v>
      </c>
      <c r="C116" s="16" t="s">
        <v>17</v>
      </c>
      <c r="D116" s="14">
        <v>2016</v>
      </c>
      <c r="E116" s="19">
        <v>43.560642662873036</v>
      </c>
      <c r="F116" s="19">
        <v>36.225201725745734</v>
      </c>
      <c r="G116" s="19">
        <v>45.839954250536422</v>
      </c>
      <c r="H116" s="40"/>
      <c r="I116" s="40"/>
      <c r="J116" s="40"/>
      <c r="K116" s="40"/>
    </row>
    <row r="117" spans="2:11" s="39" customFormat="1" ht="8.25" customHeight="1" x14ac:dyDescent="0.25">
      <c r="B117" s="13" t="s">
        <v>13</v>
      </c>
      <c r="C117" s="16" t="s">
        <v>17</v>
      </c>
      <c r="D117" s="14">
        <v>2016</v>
      </c>
      <c r="E117" s="19">
        <v>42.91885917841757</v>
      </c>
      <c r="F117" s="19">
        <v>36.688352037790899</v>
      </c>
      <c r="G117" s="19">
        <v>45.162338100499696</v>
      </c>
      <c r="H117" s="40"/>
      <c r="I117" s="40"/>
      <c r="J117" s="40"/>
      <c r="K117" s="40"/>
    </row>
    <row r="118" spans="2:11" s="39" customFormat="1" ht="8.25" customHeight="1" x14ac:dyDescent="0.25">
      <c r="B118" s="13" t="s">
        <v>14</v>
      </c>
      <c r="C118" s="16" t="s">
        <v>17</v>
      </c>
      <c r="D118" s="14">
        <v>2016</v>
      </c>
      <c r="E118" s="19">
        <v>33.295766256137043</v>
      </c>
      <c r="F118" s="19">
        <v>29.733836601397812</v>
      </c>
      <c r="G118" s="19">
        <v>34.186427165516669</v>
      </c>
      <c r="H118" s="40"/>
      <c r="I118" s="40"/>
      <c r="J118" s="40"/>
      <c r="K118" s="40"/>
    </row>
    <row r="119" spans="2:11" s="39" customFormat="1" ht="8.25" customHeight="1" x14ac:dyDescent="0.25">
      <c r="B119" s="13" t="s">
        <v>11</v>
      </c>
      <c r="C119" s="13" t="s">
        <v>12</v>
      </c>
      <c r="D119" s="14">
        <v>2015</v>
      </c>
      <c r="E119" s="19">
        <v>3.986510946628572</v>
      </c>
      <c r="F119" s="19">
        <v>8.2194037272040585</v>
      </c>
      <c r="G119" s="19">
        <v>2.8827232317372364</v>
      </c>
      <c r="H119" s="40"/>
      <c r="I119" s="40"/>
      <c r="J119" s="40"/>
      <c r="K119" s="40"/>
    </row>
    <row r="120" spans="2:11" s="39" customFormat="1" ht="8.25" customHeight="1" x14ac:dyDescent="0.25">
      <c r="B120" s="13" t="s">
        <v>13</v>
      </c>
      <c r="C120" s="13" t="s">
        <v>12</v>
      </c>
      <c r="D120" s="14">
        <v>2015</v>
      </c>
      <c r="E120" s="19">
        <v>4.173177766872592</v>
      </c>
      <c r="F120" s="19">
        <v>9.336206576844468</v>
      </c>
      <c r="G120" s="19">
        <v>2.6404567264316414</v>
      </c>
      <c r="H120" s="40"/>
      <c r="I120" s="40"/>
      <c r="J120" s="40"/>
      <c r="K120" s="40"/>
    </row>
    <row r="121" spans="2:11" s="39" customFormat="1" ht="8.25" customHeight="1" x14ac:dyDescent="0.25">
      <c r="B121" s="13" t="s">
        <v>14</v>
      </c>
      <c r="C121" s="13" t="s">
        <v>12</v>
      </c>
      <c r="D121" s="14">
        <v>2015</v>
      </c>
      <c r="E121" s="19">
        <v>3.7499136553976844</v>
      </c>
      <c r="F121" s="19">
        <v>11.068321497719857</v>
      </c>
      <c r="G121" s="19">
        <v>2.121669380202122</v>
      </c>
      <c r="H121" s="40"/>
      <c r="I121" s="40"/>
      <c r="J121" s="40"/>
      <c r="K121" s="40"/>
    </row>
    <row r="122" spans="2:11" s="39" customFormat="1" ht="8.25" customHeight="1" x14ac:dyDescent="0.25">
      <c r="B122" s="13" t="s">
        <v>11</v>
      </c>
      <c r="C122" s="16" t="s">
        <v>15</v>
      </c>
      <c r="D122" s="14">
        <v>2015</v>
      </c>
      <c r="E122" s="19">
        <v>13.751826614637078</v>
      </c>
      <c r="F122" s="19">
        <v>20.329339579850387</v>
      </c>
      <c r="G122" s="19">
        <v>12.036645441407863</v>
      </c>
      <c r="H122" s="40"/>
      <c r="I122" s="40"/>
      <c r="J122" s="40"/>
      <c r="K122" s="40"/>
    </row>
    <row r="123" spans="2:11" s="39" customFormat="1" ht="8.25" customHeight="1" x14ac:dyDescent="0.25">
      <c r="B123" s="13" t="s">
        <v>13</v>
      </c>
      <c r="C123" s="16" t="s">
        <v>15</v>
      </c>
      <c r="D123" s="14">
        <v>2015</v>
      </c>
      <c r="E123" s="19">
        <v>14.713407163780346</v>
      </c>
      <c r="F123" s="19">
        <v>20.302583164475035</v>
      </c>
      <c r="G123" s="19">
        <v>13.054177914658844</v>
      </c>
      <c r="H123" s="40"/>
      <c r="I123" s="40"/>
      <c r="J123" s="40"/>
      <c r="K123" s="40"/>
    </row>
    <row r="124" spans="2:11" s="39" customFormat="1" ht="8.25" customHeight="1" x14ac:dyDescent="0.25">
      <c r="B124" s="13" t="s">
        <v>14</v>
      </c>
      <c r="C124" s="16" t="s">
        <v>15</v>
      </c>
      <c r="D124" s="14">
        <v>2015</v>
      </c>
      <c r="E124" s="19">
        <v>25.96905957391607</v>
      </c>
      <c r="F124" s="19">
        <v>25.934649390406367</v>
      </c>
      <c r="G124" s="19">
        <v>25.976715362649799</v>
      </c>
      <c r="H124" s="40"/>
      <c r="I124" s="40"/>
      <c r="J124" s="40"/>
      <c r="K124" s="40"/>
    </row>
    <row r="125" spans="2:11" s="39" customFormat="1" ht="8.25" customHeight="1" x14ac:dyDescent="0.25">
      <c r="B125" s="13" t="s">
        <v>11</v>
      </c>
      <c r="C125" s="16" t="s">
        <v>16</v>
      </c>
      <c r="D125" s="14">
        <v>2015</v>
      </c>
      <c r="E125" s="19">
        <v>39.637359980349665</v>
      </c>
      <c r="F125" s="19">
        <v>37.225864888968943</v>
      </c>
      <c r="G125" s="19">
        <v>40.266189611854642</v>
      </c>
      <c r="H125" s="40"/>
      <c r="I125" s="40"/>
      <c r="J125" s="40"/>
      <c r="K125" s="40"/>
    </row>
    <row r="126" spans="2:11" s="39" customFormat="1" ht="8.25" customHeight="1" x14ac:dyDescent="0.25">
      <c r="B126" s="13" t="s">
        <v>13</v>
      </c>
      <c r="C126" s="16" t="s">
        <v>16</v>
      </c>
      <c r="D126" s="14">
        <v>2015</v>
      </c>
      <c r="E126" s="19">
        <v>37.647811592965461</v>
      </c>
      <c r="F126" s="19">
        <v>33.734217869495488</v>
      </c>
      <c r="G126" s="19">
        <v>38.809618861549488</v>
      </c>
      <c r="H126" s="40"/>
      <c r="I126" s="40"/>
      <c r="J126" s="40"/>
      <c r="K126" s="40"/>
    </row>
    <row r="127" spans="2:11" s="39" customFormat="1" ht="8.25" customHeight="1" x14ac:dyDescent="0.25">
      <c r="B127" s="13" t="s">
        <v>14</v>
      </c>
      <c r="C127" s="16" t="s">
        <v>16</v>
      </c>
      <c r="D127" s="14">
        <v>2015</v>
      </c>
      <c r="E127" s="19">
        <v>37.134010687532005</v>
      </c>
      <c r="F127" s="19">
        <v>32.993325675833574</v>
      </c>
      <c r="G127" s="19">
        <v>38.055255437344449</v>
      </c>
      <c r="H127" s="40"/>
      <c r="I127" s="40"/>
      <c r="J127" s="40"/>
      <c r="K127" s="40"/>
    </row>
    <row r="128" spans="2:11" s="39" customFormat="1" ht="8.25" customHeight="1" x14ac:dyDescent="0.25">
      <c r="B128" s="13" t="s">
        <v>11</v>
      </c>
      <c r="C128" s="16" t="s">
        <v>17</v>
      </c>
      <c r="D128" s="14">
        <v>2015</v>
      </c>
      <c r="E128" s="19">
        <v>42.624302458384683</v>
      </c>
      <c r="F128" s="19">
        <v>34.225391803976599</v>
      </c>
      <c r="G128" s="19">
        <v>44.81443929372999</v>
      </c>
      <c r="H128" s="40"/>
      <c r="I128" s="40"/>
      <c r="J128" s="40"/>
      <c r="K128" s="40"/>
    </row>
    <row r="129" spans="2:11" s="39" customFormat="1" ht="8.25" customHeight="1" x14ac:dyDescent="0.25">
      <c r="B129" s="13" t="s">
        <v>13</v>
      </c>
      <c r="C129" s="16" t="s">
        <v>17</v>
      </c>
      <c r="D129" s="14">
        <v>2015</v>
      </c>
      <c r="E129" s="19">
        <v>43.465603476381609</v>
      </c>
      <c r="F129" s="19">
        <v>36.626992389185006</v>
      </c>
      <c r="G129" s="19">
        <v>45.495746497360031</v>
      </c>
      <c r="H129" s="40"/>
      <c r="I129" s="40"/>
      <c r="J129" s="40"/>
      <c r="K129" s="40"/>
    </row>
    <row r="130" spans="2:11" s="39" customFormat="1" ht="8.25" customHeight="1" x14ac:dyDescent="0.25">
      <c r="B130" s="13" t="s">
        <v>14</v>
      </c>
      <c r="C130" s="16" t="s">
        <v>17</v>
      </c>
      <c r="D130" s="14">
        <v>2015</v>
      </c>
      <c r="E130" s="19">
        <v>33.147016083154249</v>
      </c>
      <c r="F130" s="19">
        <v>30.0037022912731</v>
      </c>
      <c r="G130" s="19">
        <v>33.846359819803624</v>
      </c>
      <c r="H130" s="40"/>
      <c r="I130" s="40"/>
      <c r="J130" s="40"/>
      <c r="K130" s="40"/>
    </row>
    <row r="131" spans="2:11" s="39" customFormat="1" ht="8.25" customHeight="1" x14ac:dyDescent="0.25">
      <c r="B131" s="13" t="s">
        <v>11</v>
      </c>
      <c r="C131" s="13" t="s">
        <v>12</v>
      </c>
      <c r="D131" s="14">
        <v>2014</v>
      </c>
      <c r="E131" s="19">
        <v>4.7072389175185236</v>
      </c>
      <c r="F131" s="19">
        <v>9.559354170113469</v>
      </c>
      <c r="G131" s="19">
        <v>3.4942196150433125</v>
      </c>
      <c r="H131" s="40"/>
      <c r="I131" s="40"/>
      <c r="J131" s="40"/>
      <c r="K131" s="40"/>
    </row>
    <row r="132" spans="2:11" s="39" customFormat="1" ht="8.25" customHeight="1" x14ac:dyDescent="0.25">
      <c r="B132" s="13" t="s">
        <v>13</v>
      </c>
      <c r="C132" s="13" t="s">
        <v>12</v>
      </c>
      <c r="D132" s="14">
        <v>2014</v>
      </c>
      <c r="E132" s="19">
        <v>3.5305614538994701</v>
      </c>
      <c r="F132" s="19">
        <v>7.3042348379107986</v>
      </c>
      <c r="G132" s="19">
        <v>2.4151845086418589</v>
      </c>
      <c r="H132" s="40"/>
      <c r="I132" s="40"/>
      <c r="J132" s="40"/>
      <c r="K132" s="40"/>
    </row>
    <row r="133" spans="2:11" s="39" customFormat="1" ht="8.25" customHeight="1" x14ac:dyDescent="0.25">
      <c r="B133" s="13" t="s">
        <v>14</v>
      </c>
      <c r="C133" s="13" t="s">
        <v>12</v>
      </c>
      <c r="D133" s="14">
        <v>2014</v>
      </c>
      <c r="E133" s="19">
        <v>3.627766630117423</v>
      </c>
      <c r="F133" s="19">
        <v>9.8462751302561919</v>
      </c>
      <c r="G133" s="19">
        <v>2.2894831864733827</v>
      </c>
      <c r="H133" s="40"/>
      <c r="I133" s="40"/>
      <c r="J133" s="40"/>
      <c r="K133" s="40"/>
    </row>
    <row r="134" spans="2:11" s="39" customFormat="1" ht="8.25" customHeight="1" x14ac:dyDescent="0.25">
      <c r="B134" s="13" t="s">
        <v>11</v>
      </c>
      <c r="C134" s="16" t="s">
        <v>15</v>
      </c>
      <c r="D134" s="14">
        <v>2014</v>
      </c>
      <c r="E134" s="19">
        <v>14.162073256910157</v>
      </c>
      <c r="F134" s="19">
        <v>18.548725457891294</v>
      </c>
      <c r="G134" s="19">
        <v>13.065419033503062</v>
      </c>
      <c r="H134" s="40"/>
      <c r="I134" s="40"/>
      <c r="J134" s="40"/>
      <c r="K134" s="40"/>
    </row>
    <row r="135" spans="2:11" s="39" customFormat="1" ht="8.25" customHeight="1" x14ac:dyDescent="0.25">
      <c r="B135" s="13" t="s">
        <v>13</v>
      </c>
      <c r="C135" s="16" t="s">
        <v>15</v>
      </c>
      <c r="D135" s="14">
        <v>2014</v>
      </c>
      <c r="E135" s="19">
        <v>15.811034028448406</v>
      </c>
      <c r="F135" s="19">
        <v>21.50081352989336</v>
      </c>
      <c r="G135" s="19">
        <v>14.129317506186712</v>
      </c>
      <c r="H135" s="40"/>
      <c r="I135" s="40"/>
      <c r="J135" s="40"/>
      <c r="K135" s="40"/>
    </row>
    <row r="136" spans="2:11" s="39" customFormat="1" ht="8.25" customHeight="1" x14ac:dyDescent="0.25">
      <c r="B136" s="13" t="s">
        <v>14</v>
      </c>
      <c r="C136" s="16" t="s">
        <v>15</v>
      </c>
      <c r="D136" s="14">
        <v>2014</v>
      </c>
      <c r="E136" s="19">
        <v>27.412139927408134</v>
      </c>
      <c r="F136" s="19">
        <v>27.334512304358739</v>
      </c>
      <c r="G136" s="19">
        <v>27.428846216198711</v>
      </c>
      <c r="H136" s="40"/>
      <c r="I136" s="40"/>
      <c r="J136" s="40"/>
      <c r="K136" s="40"/>
    </row>
    <row r="137" spans="2:11" s="39" customFormat="1" ht="8.25" customHeight="1" x14ac:dyDescent="0.25">
      <c r="B137" s="13" t="s">
        <v>11</v>
      </c>
      <c r="C137" s="16" t="s">
        <v>16</v>
      </c>
      <c r="D137" s="14">
        <v>2014</v>
      </c>
      <c r="E137" s="19">
        <v>40.471998735048359</v>
      </c>
      <c r="F137" s="19">
        <v>38.59132261477744</v>
      </c>
      <c r="G137" s="19">
        <v>40.942167361311874</v>
      </c>
      <c r="H137" s="40"/>
      <c r="I137" s="40"/>
      <c r="J137" s="40"/>
      <c r="K137" s="40"/>
    </row>
    <row r="138" spans="2:11" s="39" customFormat="1" ht="8.25" customHeight="1" x14ac:dyDescent="0.25">
      <c r="B138" s="13" t="s">
        <v>13</v>
      </c>
      <c r="C138" s="16" t="s">
        <v>16</v>
      </c>
      <c r="D138" s="14">
        <v>2014</v>
      </c>
      <c r="E138" s="19">
        <v>39.24648066622327</v>
      </c>
      <c r="F138" s="19">
        <v>35.104029005106554</v>
      </c>
      <c r="G138" s="19">
        <v>40.470856654677874</v>
      </c>
      <c r="H138" s="40"/>
      <c r="I138" s="40"/>
      <c r="J138" s="40"/>
      <c r="K138" s="40"/>
    </row>
    <row r="139" spans="2:11" s="39" customFormat="1" ht="8.25" customHeight="1" x14ac:dyDescent="0.25">
      <c r="B139" s="13" t="s">
        <v>14</v>
      </c>
      <c r="C139" s="16" t="s">
        <v>16</v>
      </c>
      <c r="D139" s="14">
        <v>2014</v>
      </c>
      <c r="E139" s="19">
        <v>36.90524770746309</v>
      </c>
      <c r="F139" s="19">
        <v>33.124812803572162</v>
      </c>
      <c r="G139" s="19">
        <v>37.718834126586046</v>
      </c>
      <c r="H139" s="40"/>
      <c r="I139" s="40"/>
      <c r="J139" s="40"/>
      <c r="K139" s="40"/>
    </row>
    <row r="140" spans="2:11" s="39" customFormat="1" ht="8.25" customHeight="1" x14ac:dyDescent="0.25">
      <c r="B140" s="13" t="s">
        <v>11</v>
      </c>
      <c r="C140" s="16" t="s">
        <v>17</v>
      </c>
      <c r="D140" s="14">
        <v>2014</v>
      </c>
      <c r="E140" s="19">
        <v>40.658687245063632</v>
      </c>
      <c r="F140" s="19">
        <v>33.300616211925743</v>
      </c>
      <c r="G140" s="19">
        <v>42.49819399014175</v>
      </c>
      <c r="H140" s="40"/>
      <c r="I140" s="40"/>
      <c r="J140" s="40"/>
      <c r="K140" s="40"/>
    </row>
    <row r="141" spans="2:11" s="39" customFormat="1" ht="8.25" customHeight="1" x14ac:dyDescent="0.25">
      <c r="B141" s="13" t="s">
        <v>13</v>
      </c>
      <c r="C141" s="16" t="s">
        <v>17</v>
      </c>
      <c r="D141" s="14">
        <v>2014</v>
      </c>
      <c r="E141" s="19">
        <v>41.411923851428853</v>
      </c>
      <c r="F141" s="19">
        <v>36.090922627089292</v>
      </c>
      <c r="G141" s="19">
        <v>42.98464133049356</v>
      </c>
      <c r="H141" s="40"/>
      <c r="I141" s="40"/>
      <c r="J141" s="40"/>
      <c r="K141" s="40"/>
    </row>
    <row r="142" spans="2:11" s="39" customFormat="1" ht="8.25" customHeight="1" x14ac:dyDescent="0.25">
      <c r="B142" s="13" t="s">
        <v>14</v>
      </c>
      <c r="C142" s="16" t="s">
        <v>17</v>
      </c>
      <c r="D142" s="14">
        <v>2014</v>
      </c>
      <c r="E142" s="19">
        <v>32.054845735011348</v>
      </c>
      <c r="F142" s="19">
        <v>29.69439976181291</v>
      </c>
      <c r="G142" s="19">
        <v>32.562836726184457</v>
      </c>
      <c r="H142" s="40"/>
      <c r="I142" s="40"/>
      <c r="J142" s="40"/>
      <c r="K142" s="40"/>
    </row>
    <row r="143" spans="2:11" s="39" customFormat="1" ht="8.25" customHeight="1" x14ac:dyDescent="0.25">
      <c r="B143" s="13" t="s">
        <v>11</v>
      </c>
      <c r="C143" s="13" t="s">
        <v>12</v>
      </c>
      <c r="D143" s="14">
        <v>2013</v>
      </c>
      <c r="E143" s="19">
        <v>4.5516071754321441</v>
      </c>
      <c r="F143" s="20">
        <v>7.1529042726009893</v>
      </c>
      <c r="G143" s="19">
        <v>3.8581134596894184</v>
      </c>
      <c r="H143" s="40"/>
      <c r="I143" s="40"/>
      <c r="J143" s="40"/>
      <c r="K143" s="40"/>
    </row>
    <row r="144" spans="2:11" s="39" customFormat="1" ht="8.25" customHeight="1" x14ac:dyDescent="0.25">
      <c r="B144" s="13" t="s">
        <v>13</v>
      </c>
      <c r="C144" s="13" t="s">
        <v>12</v>
      </c>
      <c r="D144" s="14">
        <v>2013</v>
      </c>
      <c r="E144" s="19">
        <v>3.7133488382964872</v>
      </c>
      <c r="F144" s="19">
        <v>7.2757819495800566</v>
      </c>
      <c r="G144" s="19">
        <v>2.636205797609152</v>
      </c>
      <c r="H144" s="40"/>
      <c r="I144" s="40"/>
      <c r="J144" s="40"/>
      <c r="K144" s="40"/>
    </row>
    <row r="145" spans="2:11" s="39" customFormat="1" ht="8.25" customHeight="1" x14ac:dyDescent="0.25">
      <c r="B145" s="13" t="s">
        <v>14</v>
      </c>
      <c r="C145" s="13" t="s">
        <v>12</v>
      </c>
      <c r="D145" s="14">
        <v>2013</v>
      </c>
      <c r="E145" s="19">
        <v>3.6458445915334661</v>
      </c>
      <c r="F145" s="19">
        <v>10.179727753164585</v>
      </c>
      <c r="G145" s="19">
        <v>2.2326660215626659</v>
      </c>
      <c r="H145" s="40"/>
      <c r="I145" s="40"/>
      <c r="J145" s="40"/>
      <c r="K145" s="40"/>
    </row>
    <row r="146" spans="2:11" s="39" customFormat="1" ht="8.25" customHeight="1" x14ac:dyDescent="0.25">
      <c r="B146" s="13" t="s">
        <v>11</v>
      </c>
      <c r="C146" s="16" t="s">
        <v>15</v>
      </c>
      <c r="D146" s="14">
        <v>2013</v>
      </c>
      <c r="E146" s="19">
        <v>15.152677251455742</v>
      </c>
      <c r="F146" s="19">
        <v>19.91576102292148</v>
      </c>
      <c r="G146" s="19">
        <v>13.882857065915472</v>
      </c>
      <c r="H146" s="40"/>
      <c r="I146" s="40"/>
      <c r="J146" s="40"/>
      <c r="K146" s="40"/>
    </row>
    <row r="147" spans="2:11" s="39" customFormat="1" ht="8.25" customHeight="1" x14ac:dyDescent="0.25">
      <c r="B147" s="13" t="s">
        <v>13</v>
      </c>
      <c r="C147" s="16" t="s">
        <v>15</v>
      </c>
      <c r="D147" s="14">
        <v>2013</v>
      </c>
      <c r="E147" s="19">
        <v>16.299628531334761</v>
      </c>
      <c r="F147" s="19">
        <v>22.409458177310459</v>
      </c>
      <c r="G147" s="19">
        <v>14.452252044901693</v>
      </c>
      <c r="H147" s="40"/>
      <c r="I147" s="40"/>
      <c r="J147" s="40"/>
      <c r="K147" s="40"/>
    </row>
    <row r="148" spans="2:11" s="39" customFormat="1" ht="8.25" customHeight="1" x14ac:dyDescent="0.25">
      <c r="B148" s="13" t="s">
        <v>14</v>
      </c>
      <c r="C148" s="16" t="s">
        <v>15</v>
      </c>
      <c r="D148" s="14">
        <v>2013</v>
      </c>
      <c r="E148" s="19">
        <v>28.473284737732225</v>
      </c>
      <c r="F148" s="19">
        <v>27.690940448672496</v>
      </c>
      <c r="G148" s="19">
        <v>28.642493790953527</v>
      </c>
      <c r="H148" s="40"/>
      <c r="I148" s="40"/>
      <c r="J148" s="40"/>
      <c r="K148" s="40"/>
    </row>
    <row r="149" spans="2:11" s="39" customFormat="1" ht="8.25" customHeight="1" x14ac:dyDescent="0.25">
      <c r="B149" s="13" t="s">
        <v>11</v>
      </c>
      <c r="C149" s="16" t="s">
        <v>16</v>
      </c>
      <c r="D149" s="14">
        <v>2013</v>
      </c>
      <c r="E149" s="19">
        <v>40.417005643047794</v>
      </c>
      <c r="F149" s="19">
        <v>40.424206540712667</v>
      </c>
      <c r="G149" s="19">
        <v>40.41508687096691</v>
      </c>
      <c r="H149" s="40"/>
      <c r="I149" s="40"/>
      <c r="J149" s="40"/>
      <c r="K149" s="40"/>
    </row>
    <row r="150" spans="2:11" s="39" customFormat="1" ht="8.25" customHeight="1" x14ac:dyDescent="0.25">
      <c r="B150" s="13" t="s">
        <v>13</v>
      </c>
      <c r="C150" s="16" t="s">
        <v>16</v>
      </c>
      <c r="D150" s="14">
        <v>2013</v>
      </c>
      <c r="E150" s="19">
        <v>39.44756853898312</v>
      </c>
      <c r="F150" s="19">
        <v>35.325695773352948</v>
      </c>
      <c r="G150" s="19">
        <v>40.693864658911529</v>
      </c>
      <c r="H150" s="40"/>
      <c r="I150" s="40"/>
      <c r="J150" s="40"/>
      <c r="K150" s="40"/>
    </row>
    <row r="151" spans="2:11" s="39" customFormat="1" ht="8.25" customHeight="1" x14ac:dyDescent="0.25">
      <c r="B151" s="13" t="s">
        <v>14</v>
      </c>
      <c r="C151" s="16" t="s">
        <v>16</v>
      </c>
      <c r="D151" s="14">
        <v>2013</v>
      </c>
      <c r="E151" s="19">
        <v>36.169812933436305</v>
      </c>
      <c r="F151" s="19">
        <v>32.910418916307925</v>
      </c>
      <c r="G151" s="19">
        <v>36.87476979632379</v>
      </c>
      <c r="H151" s="40"/>
      <c r="I151" s="40"/>
      <c r="J151" s="40"/>
      <c r="K151" s="40"/>
    </row>
    <row r="152" spans="2:11" s="39" customFormat="1" ht="8.25" customHeight="1" x14ac:dyDescent="0.25">
      <c r="B152" s="13" t="s">
        <v>11</v>
      </c>
      <c r="C152" s="16" t="s">
        <v>17</v>
      </c>
      <c r="D152" s="14">
        <v>2013</v>
      </c>
      <c r="E152" s="19">
        <v>39.878709930064325</v>
      </c>
      <c r="F152" s="19">
        <v>32.507137079263146</v>
      </c>
      <c r="G152" s="19">
        <v>41.843944980267125</v>
      </c>
      <c r="H152" s="40"/>
      <c r="I152" s="40"/>
      <c r="J152" s="40"/>
      <c r="K152" s="40"/>
    </row>
    <row r="153" spans="2:11" s="39" customFormat="1" ht="8.25" customHeight="1" x14ac:dyDescent="0.25">
      <c r="B153" s="13" t="s">
        <v>13</v>
      </c>
      <c r="C153" s="16" t="s">
        <v>17</v>
      </c>
      <c r="D153" s="14">
        <v>2013</v>
      </c>
      <c r="E153" s="19">
        <v>40.539452945015391</v>
      </c>
      <c r="F153" s="19">
        <v>34.989069037514867</v>
      </c>
      <c r="G153" s="19">
        <v>42.217676005589034</v>
      </c>
      <c r="H153" s="40"/>
      <c r="I153" s="40"/>
      <c r="J153" s="40"/>
      <c r="K153" s="40"/>
    </row>
    <row r="154" spans="2:11" s="39" customFormat="1" ht="8.25" customHeight="1" x14ac:dyDescent="0.25">
      <c r="B154" s="13" t="s">
        <v>14</v>
      </c>
      <c r="C154" s="16" t="s">
        <v>17</v>
      </c>
      <c r="D154" s="14">
        <v>2013</v>
      </c>
      <c r="E154" s="19">
        <v>31.711057737298017</v>
      </c>
      <c r="F154" s="19">
        <v>29.218912881854987</v>
      </c>
      <c r="G154" s="19">
        <v>32.250070647032501</v>
      </c>
      <c r="H154" s="40"/>
      <c r="I154" s="40"/>
      <c r="J154" s="40"/>
      <c r="K154" s="40"/>
    </row>
    <row r="155" spans="2:11" s="39" customFormat="1" ht="8.25" customHeight="1" x14ac:dyDescent="0.25">
      <c r="B155" s="13" t="s">
        <v>11</v>
      </c>
      <c r="C155" s="13" t="s">
        <v>12</v>
      </c>
      <c r="D155" s="14">
        <v>2012</v>
      </c>
      <c r="E155" s="19">
        <v>5.2065034980518829</v>
      </c>
      <c r="F155" s="19">
        <v>8.1002219604773789</v>
      </c>
      <c r="G155" s="19">
        <v>4.4659382405956984</v>
      </c>
      <c r="H155" s="40"/>
      <c r="I155" s="40"/>
      <c r="J155" s="40"/>
      <c r="K155" s="40"/>
    </row>
    <row r="156" spans="2:11" s="39" customFormat="1" ht="8.25" customHeight="1" x14ac:dyDescent="0.25">
      <c r="B156" s="13" t="s">
        <v>13</v>
      </c>
      <c r="C156" s="13" t="s">
        <v>12</v>
      </c>
      <c r="D156" s="14">
        <v>2012</v>
      </c>
      <c r="E156" s="19">
        <v>3.5877623608345308</v>
      </c>
      <c r="F156" s="19">
        <v>8.4287684106985772</v>
      </c>
      <c r="G156" s="19">
        <v>2.1520811428850282</v>
      </c>
      <c r="H156" s="40"/>
      <c r="I156" s="40"/>
      <c r="J156" s="40"/>
      <c r="K156" s="40"/>
    </row>
    <row r="157" spans="2:11" s="39" customFormat="1" ht="8.25" customHeight="1" x14ac:dyDescent="0.25">
      <c r="B157" s="13" t="s">
        <v>14</v>
      </c>
      <c r="C157" s="13" t="s">
        <v>12</v>
      </c>
      <c r="D157" s="14">
        <v>2012</v>
      </c>
      <c r="E157" s="19">
        <v>3.5978628053990644</v>
      </c>
      <c r="F157" s="19">
        <v>10.216130628791072</v>
      </c>
      <c r="G157" s="19">
        <v>2.2395724823015377</v>
      </c>
      <c r="H157" s="40"/>
      <c r="I157" s="40"/>
      <c r="J157" s="40"/>
      <c r="K157" s="40"/>
    </row>
    <row r="158" spans="2:11" s="39" customFormat="1" ht="8.25" customHeight="1" x14ac:dyDescent="0.25">
      <c r="B158" s="13" t="s">
        <v>11</v>
      </c>
      <c r="C158" s="16" t="s">
        <v>15</v>
      </c>
      <c r="D158" s="14">
        <v>2012</v>
      </c>
      <c r="E158" s="19">
        <v>16.190244492866064</v>
      </c>
      <c r="F158" s="19">
        <v>21.495243697544868</v>
      </c>
      <c r="G158" s="19">
        <v>14.832580244311355</v>
      </c>
      <c r="H158" s="40"/>
      <c r="I158" s="40"/>
      <c r="J158" s="40"/>
      <c r="K158" s="40"/>
    </row>
    <row r="159" spans="2:11" s="39" customFormat="1" ht="8.25" customHeight="1" x14ac:dyDescent="0.25">
      <c r="B159" s="13" t="s">
        <v>13</v>
      </c>
      <c r="C159" s="16" t="s">
        <v>15</v>
      </c>
      <c r="D159" s="14">
        <v>2012</v>
      </c>
      <c r="E159" s="19">
        <v>17.120141511254189</v>
      </c>
      <c r="F159" s="19">
        <v>24.312591505676192</v>
      </c>
      <c r="G159" s="19">
        <v>14.987098073326122</v>
      </c>
      <c r="H159" s="40"/>
      <c r="I159" s="40"/>
      <c r="J159" s="40"/>
      <c r="K159" s="40"/>
    </row>
    <row r="160" spans="2:11" s="39" customFormat="1" ht="8.25" customHeight="1" x14ac:dyDescent="0.25">
      <c r="B160" s="13" t="s">
        <v>14</v>
      </c>
      <c r="C160" s="16" t="s">
        <v>15</v>
      </c>
      <c r="D160" s="14">
        <v>2012</v>
      </c>
      <c r="E160" s="19">
        <v>29.807258020777628</v>
      </c>
      <c r="F160" s="19">
        <v>29.198939717725743</v>
      </c>
      <c r="G160" s="19">
        <v>29.932105574049857</v>
      </c>
      <c r="H160" s="40"/>
      <c r="I160" s="40"/>
      <c r="J160" s="40"/>
      <c r="K160" s="40"/>
    </row>
    <row r="161" spans="2:11" s="39" customFormat="1" ht="8.25" customHeight="1" x14ac:dyDescent="0.25">
      <c r="B161" s="13" t="s">
        <v>11</v>
      </c>
      <c r="C161" s="16" t="s">
        <v>16</v>
      </c>
      <c r="D161" s="14">
        <v>2012</v>
      </c>
      <c r="E161" s="19">
        <v>42.080561444794476</v>
      </c>
      <c r="F161" s="19">
        <v>40.377855146563284</v>
      </c>
      <c r="G161" s="19">
        <v>42.516320881828612</v>
      </c>
      <c r="H161" s="40"/>
      <c r="I161" s="40"/>
      <c r="J161" s="40"/>
      <c r="K161" s="40"/>
    </row>
    <row r="162" spans="2:11" s="39" customFormat="1" ht="8.25" customHeight="1" x14ac:dyDescent="0.25">
      <c r="B162" s="13" t="s">
        <v>13</v>
      </c>
      <c r="C162" s="16" t="s">
        <v>16</v>
      </c>
      <c r="D162" s="14">
        <v>2012</v>
      </c>
      <c r="E162" s="19">
        <v>40.191422183138876</v>
      </c>
      <c r="F162" s="19">
        <v>35.603301386828385</v>
      </c>
      <c r="G162" s="19">
        <v>41.552107480163023</v>
      </c>
      <c r="H162" s="40"/>
      <c r="I162" s="40"/>
      <c r="J162" s="40"/>
      <c r="K162" s="40"/>
    </row>
    <row r="163" spans="2:11" s="39" customFormat="1" ht="8.25" customHeight="1" x14ac:dyDescent="0.25">
      <c r="B163" s="13" t="s">
        <v>14</v>
      </c>
      <c r="C163" s="16" t="s">
        <v>16</v>
      </c>
      <c r="D163" s="14">
        <v>2012</v>
      </c>
      <c r="E163" s="19">
        <v>36.096206100057415</v>
      </c>
      <c r="F163" s="19">
        <v>32.300267472890042</v>
      </c>
      <c r="G163" s="19">
        <v>36.875260155014551</v>
      </c>
      <c r="H163" s="40"/>
      <c r="I163" s="40"/>
      <c r="J163" s="40"/>
      <c r="K163" s="40"/>
    </row>
    <row r="164" spans="2:11" s="39" customFormat="1" ht="8.25" customHeight="1" x14ac:dyDescent="0.25">
      <c r="B164" s="13" t="s">
        <v>11</v>
      </c>
      <c r="C164" s="16" t="s">
        <v>17</v>
      </c>
      <c r="D164" s="14">
        <v>2012</v>
      </c>
      <c r="E164" s="19">
        <v>36.522690564287579</v>
      </c>
      <c r="F164" s="19">
        <v>30.026688311208844</v>
      </c>
      <c r="G164" s="19">
        <v>38.185158300335011</v>
      </c>
      <c r="H164" s="40"/>
      <c r="I164" s="40"/>
      <c r="J164" s="40"/>
      <c r="K164" s="40"/>
    </row>
    <row r="165" spans="2:11" s="39" customFormat="1" ht="8.25" customHeight="1" x14ac:dyDescent="0.25">
      <c r="B165" s="13" t="s">
        <v>13</v>
      </c>
      <c r="C165" s="16" t="s">
        <v>17</v>
      </c>
      <c r="D165" s="14">
        <v>2012</v>
      </c>
      <c r="E165" s="19">
        <v>39.100673944772396</v>
      </c>
      <c r="F165" s="19">
        <v>31.655338696796854</v>
      </c>
      <c r="G165" s="19">
        <v>41.308714807925448</v>
      </c>
      <c r="H165" s="40"/>
      <c r="I165" s="40"/>
      <c r="J165" s="40"/>
      <c r="K165" s="40"/>
    </row>
    <row r="166" spans="2:11" s="39" customFormat="1" ht="8.25" customHeight="1" x14ac:dyDescent="0.25">
      <c r="B166" s="13" t="s">
        <v>14</v>
      </c>
      <c r="C166" s="16" t="s">
        <v>17</v>
      </c>
      <c r="D166" s="14">
        <v>2012</v>
      </c>
      <c r="E166" s="19">
        <v>30.498672863117111</v>
      </c>
      <c r="F166" s="19">
        <v>28.284663417627893</v>
      </c>
      <c r="G166" s="19">
        <v>30.953061788634063</v>
      </c>
      <c r="H166" s="40"/>
      <c r="I166" s="40"/>
      <c r="J166" s="40"/>
      <c r="K166" s="40"/>
    </row>
    <row r="167" spans="2:11" s="39" customFormat="1" ht="8.25" customHeight="1" x14ac:dyDescent="0.25">
      <c r="B167" s="13" t="s">
        <v>11</v>
      </c>
      <c r="C167" s="13" t="s">
        <v>12</v>
      </c>
      <c r="D167" s="14">
        <v>2011</v>
      </c>
      <c r="E167" s="19">
        <v>4.680199803458887</v>
      </c>
      <c r="F167" s="21">
        <v>6.4307154189557831</v>
      </c>
      <c r="G167" s="19">
        <v>4.212473377535928</v>
      </c>
      <c r="H167" s="40"/>
      <c r="I167" s="40"/>
      <c r="J167" s="40"/>
      <c r="K167" s="40"/>
    </row>
    <row r="168" spans="2:11" s="39" customFormat="1" ht="8.25" customHeight="1" x14ac:dyDescent="0.25">
      <c r="B168" s="13" t="s">
        <v>13</v>
      </c>
      <c r="C168" s="13" t="s">
        <v>12</v>
      </c>
      <c r="D168" s="14">
        <v>2011</v>
      </c>
      <c r="E168" s="19">
        <v>3.4533060936328104</v>
      </c>
      <c r="F168" s="19">
        <v>8.1456388805452651</v>
      </c>
      <c r="G168" s="19">
        <v>2.0962607986382698</v>
      </c>
      <c r="H168" s="40"/>
      <c r="I168" s="40"/>
      <c r="J168" s="40"/>
      <c r="K168" s="40"/>
    </row>
    <row r="169" spans="2:11" s="39" customFormat="1" ht="8.25" customHeight="1" x14ac:dyDescent="0.25">
      <c r="B169" s="13" t="s">
        <v>14</v>
      </c>
      <c r="C169" s="13" t="s">
        <v>12</v>
      </c>
      <c r="D169" s="14">
        <v>2011</v>
      </c>
      <c r="E169" s="19">
        <v>3.6688820899064702</v>
      </c>
      <c r="F169" s="19">
        <v>10.688288835368448</v>
      </c>
      <c r="G169" s="19">
        <v>2.256034883631453</v>
      </c>
      <c r="H169" s="40"/>
      <c r="I169" s="40"/>
      <c r="J169" s="40"/>
      <c r="K169" s="40"/>
    </row>
    <row r="170" spans="2:11" s="39" customFormat="1" ht="8.25" customHeight="1" x14ac:dyDescent="0.25">
      <c r="B170" s="13" t="s">
        <v>11</v>
      </c>
      <c r="C170" s="16" t="s">
        <v>15</v>
      </c>
      <c r="D170" s="14">
        <v>2011</v>
      </c>
      <c r="E170" s="19">
        <v>17.513989203262025</v>
      </c>
      <c r="F170" s="19">
        <v>23.900930736812033</v>
      </c>
      <c r="G170" s="19">
        <v>15.807439824541817</v>
      </c>
      <c r="H170" s="40"/>
      <c r="I170" s="40"/>
      <c r="J170" s="40"/>
      <c r="K170" s="40"/>
    </row>
    <row r="171" spans="2:11" s="39" customFormat="1" ht="8.25" customHeight="1" x14ac:dyDescent="0.25">
      <c r="B171" s="13" t="s">
        <v>13</v>
      </c>
      <c r="C171" s="16" t="s">
        <v>15</v>
      </c>
      <c r="D171" s="14">
        <v>2011</v>
      </c>
      <c r="E171" s="19">
        <v>18.39174153733941</v>
      </c>
      <c r="F171" s="19">
        <v>25.434681609964461</v>
      </c>
      <c r="G171" s="19">
        <v>16.354891769290095</v>
      </c>
      <c r="H171" s="40"/>
      <c r="I171" s="40"/>
      <c r="J171" s="40"/>
      <c r="K171" s="40"/>
    </row>
    <row r="172" spans="2:11" s="39" customFormat="1" ht="8.25" customHeight="1" x14ac:dyDescent="0.25">
      <c r="B172" s="13" t="s">
        <v>14</v>
      </c>
      <c r="C172" s="16" t="s">
        <v>15</v>
      </c>
      <c r="D172" s="14">
        <v>2011</v>
      </c>
      <c r="E172" s="19">
        <v>31.149509620007436</v>
      </c>
      <c r="F172" s="19">
        <v>30.442144680838183</v>
      </c>
      <c r="G172" s="19">
        <v>31.29188612194876</v>
      </c>
      <c r="H172" s="40"/>
      <c r="I172" s="40"/>
      <c r="J172" s="40"/>
      <c r="K172" s="40"/>
    </row>
    <row r="173" spans="2:11" s="39" customFormat="1" ht="8.25" customHeight="1" x14ac:dyDescent="0.25">
      <c r="B173" s="13" t="s">
        <v>11</v>
      </c>
      <c r="C173" s="16" t="s">
        <v>16</v>
      </c>
      <c r="D173" s="14">
        <v>2011</v>
      </c>
      <c r="E173" s="19">
        <v>42.493870549586831</v>
      </c>
      <c r="F173" s="19">
        <v>40.840313111816087</v>
      </c>
      <c r="G173" s="19">
        <v>42.935690378887422</v>
      </c>
      <c r="H173" s="40"/>
      <c r="I173" s="40"/>
      <c r="J173" s="40"/>
      <c r="K173" s="40"/>
    </row>
    <row r="174" spans="2:11" s="39" customFormat="1" ht="8.25" customHeight="1" x14ac:dyDescent="0.25">
      <c r="B174" s="13" t="s">
        <v>13</v>
      </c>
      <c r="C174" s="16" t="s">
        <v>16</v>
      </c>
      <c r="D174" s="14">
        <v>2011</v>
      </c>
      <c r="E174" s="19">
        <v>40.125448128344885</v>
      </c>
      <c r="F174" s="19">
        <v>34.943864628809393</v>
      </c>
      <c r="G174" s="19">
        <v>41.623986072728655</v>
      </c>
      <c r="H174" s="40"/>
      <c r="I174" s="40"/>
      <c r="J174" s="40"/>
      <c r="K174" s="40"/>
    </row>
    <row r="175" spans="2:11" s="39" customFormat="1" ht="8.25" customHeight="1" x14ac:dyDescent="0.25">
      <c r="B175" s="13" t="s">
        <v>14</v>
      </c>
      <c r="C175" s="16" t="s">
        <v>16</v>
      </c>
      <c r="D175" s="14">
        <v>2011</v>
      </c>
      <c r="E175" s="19">
        <v>35.548730586857872</v>
      </c>
      <c r="F175" s="19">
        <v>32.085785165618979</v>
      </c>
      <c r="G175" s="19">
        <v>36.24574287597239</v>
      </c>
      <c r="H175" s="40"/>
      <c r="I175" s="40"/>
      <c r="J175" s="40"/>
      <c r="K175" s="40"/>
    </row>
    <row r="176" spans="2:11" s="39" customFormat="1" ht="8.25" customHeight="1" x14ac:dyDescent="0.25">
      <c r="B176" s="13" t="s">
        <v>11</v>
      </c>
      <c r="C176" s="16" t="s">
        <v>17</v>
      </c>
      <c r="D176" s="14">
        <v>2011</v>
      </c>
      <c r="E176" s="19">
        <v>35.311942262574242</v>
      </c>
      <c r="F176" s="19">
        <v>28.828040732416099</v>
      </c>
      <c r="G176" s="19">
        <v>37.04439641903484</v>
      </c>
      <c r="H176" s="40"/>
      <c r="I176" s="40"/>
      <c r="J176" s="40"/>
      <c r="K176" s="40"/>
    </row>
    <row r="177" spans="2:11" s="39" customFormat="1" ht="8.25" customHeight="1" x14ac:dyDescent="0.25">
      <c r="B177" s="13" t="s">
        <v>13</v>
      </c>
      <c r="C177" s="16" t="s">
        <v>17</v>
      </c>
      <c r="D177" s="14">
        <v>2011</v>
      </c>
      <c r="E177" s="19">
        <v>38.029503052297244</v>
      </c>
      <c r="F177" s="19">
        <v>31.475814880680879</v>
      </c>
      <c r="G177" s="19">
        <v>39.92486135934297</v>
      </c>
      <c r="H177" s="40"/>
      <c r="I177" s="40"/>
      <c r="J177" s="40"/>
      <c r="K177" s="40"/>
    </row>
    <row r="178" spans="2:11" s="39" customFormat="1" ht="8.25" customHeight="1" x14ac:dyDescent="0.25">
      <c r="B178" s="13" t="s">
        <v>14</v>
      </c>
      <c r="C178" s="16" t="s">
        <v>17</v>
      </c>
      <c r="D178" s="14">
        <v>2011</v>
      </c>
      <c r="E178" s="19">
        <v>29.632877703228218</v>
      </c>
      <c r="F178" s="19">
        <v>26.783781318174388</v>
      </c>
      <c r="G178" s="19">
        <v>30.206336118447407</v>
      </c>
      <c r="H178" s="40"/>
      <c r="I178" s="40"/>
      <c r="J178" s="40"/>
      <c r="K178" s="40"/>
    </row>
    <row r="179" spans="2:11" s="39" customFormat="1" ht="8.25" customHeight="1" x14ac:dyDescent="0.25">
      <c r="B179" s="13" t="s">
        <v>11</v>
      </c>
      <c r="C179" s="13" t="s">
        <v>12</v>
      </c>
      <c r="D179" s="14">
        <v>2010</v>
      </c>
      <c r="E179" s="19">
        <v>4.9874117949920072</v>
      </c>
      <c r="F179" s="19">
        <v>8.4267422506858765</v>
      </c>
      <c r="G179" s="19">
        <v>4.0130045470776761</v>
      </c>
      <c r="H179" s="40"/>
      <c r="I179" s="40"/>
      <c r="J179" s="40"/>
      <c r="K179" s="40"/>
    </row>
    <row r="180" spans="2:11" s="39" customFormat="1" ht="8.25" customHeight="1" x14ac:dyDescent="0.25">
      <c r="B180" s="13" t="s">
        <v>13</v>
      </c>
      <c r="C180" s="13" t="s">
        <v>12</v>
      </c>
      <c r="D180" s="14">
        <v>2010</v>
      </c>
      <c r="E180" s="19">
        <v>3.8616844005459012</v>
      </c>
      <c r="F180" s="19">
        <v>9.8210343130896494</v>
      </c>
      <c r="G180" s="19">
        <v>2.0295387562309761</v>
      </c>
      <c r="H180" s="40"/>
      <c r="I180" s="40"/>
      <c r="J180" s="40"/>
      <c r="K180" s="40"/>
    </row>
    <row r="181" spans="2:11" s="39" customFormat="1" ht="8.25" customHeight="1" x14ac:dyDescent="0.25">
      <c r="B181" s="13" t="s">
        <v>14</v>
      </c>
      <c r="C181" s="13" t="s">
        <v>12</v>
      </c>
      <c r="D181" s="14">
        <v>2010</v>
      </c>
      <c r="E181" s="19">
        <v>4.1433035191685352</v>
      </c>
      <c r="F181" s="19">
        <v>12.162165016191862</v>
      </c>
      <c r="G181" s="19">
        <v>2.4340313526480446</v>
      </c>
      <c r="H181" s="40"/>
      <c r="I181" s="40"/>
      <c r="J181" s="40"/>
      <c r="K181" s="40"/>
    </row>
    <row r="182" spans="2:11" s="39" customFormat="1" ht="8.25" customHeight="1" x14ac:dyDescent="0.25">
      <c r="B182" s="13" t="s">
        <v>11</v>
      </c>
      <c r="C182" s="16" t="s">
        <v>15</v>
      </c>
      <c r="D182" s="14">
        <v>2010</v>
      </c>
      <c r="E182" s="19">
        <v>17.791278195878107</v>
      </c>
      <c r="F182" s="19">
        <v>22.113489737169161</v>
      </c>
      <c r="G182" s="19">
        <v>16.566739202865495</v>
      </c>
      <c r="H182" s="40"/>
      <c r="I182" s="40"/>
      <c r="J182" s="40"/>
      <c r="K182" s="40"/>
    </row>
    <row r="183" spans="2:11" s="39" customFormat="1" ht="8.25" customHeight="1" x14ac:dyDescent="0.25">
      <c r="B183" s="13" t="s">
        <v>13</v>
      </c>
      <c r="C183" s="16" t="s">
        <v>15</v>
      </c>
      <c r="D183" s="14">
        <v>2010</v>
      </c>
      <c r="E183" s="19">
        <v>19.262535014414681</v>
      </c>
      <c r="F183" s="19">
        <v>25.18419588279059</v>
      </c>
      <c r="G183" s="19">
        <v>17.441975232910607</v>
      </c>
      <c r="H183" s="40"/>
      <c r="I183" s="40"/>
      <c r="J183" s="40"/>
      <c r="K183" s="40"/>
    </row>
    <row r="184" spans="2:11" s="39" customFormat="1" ht="8.25" customHeight="1" x14ac:dyDescent="0.25">
      <c r="B184" s="13" t="s">
        <v>14</v>
      </c>
      <c r="C184" s="16" t="s">
        <v>15</v>
      </c>
      <c r="D184" s="14">
        <v>2010</v>
      </c>
      <c r="E184" s="19">
        <v>32.035128689761962</v>
      </c>
      <c r="F184" s="19">
        <v>30.342171586802458</v>
      </c>
      <c r="G184" s="19">
        <v>32.395993772894002</v>
      </c>
      <c r="H184" s="40"/>
      <c r="I184" s="40"/>
      <c r="J184" s="40"/>
      <c r="K184" s="40"/>
    </row>
    <row r="185" spans="2:11" s="39" customFormat="1" ht="8.25" customHeight="1" x14ac:dyDescent="0.25">
      <c r="B185" s="13" t="s">
        <v>11</v>
      </c>
      <c r="C185" s="16" t="s">
        <v>16</v>
      </c>
      <c r="D185" s="14">
        <v>2010</v>
      </c>
      <c r="E185" s="19">
        <v>45.129754320330797</v>
      </c>
      <c r="F185" s="19">
        <v>44.026955396838098</v>
      </c>
      <c r="G185" s="19">
        <v>45.442191661809403</v>
      </c>
      <c r="H185" s="40"/>
      <c r="I185" s="40"/>
      <c r="J185" s="40"/>
      <c r="K185" s="40"/>
    </row>
    <row r="186" spans="2:11" s="39" customFormat="1" ht="8.25" customHeight="1" x14ac:dyDescent="0.25">
      <c r="B186" s="13" t="s">
        <v>13</v>
      </c>
      <c r="C186" s="16" t="s">
        <v>16</v>
      </c>
      <c r="D186" s="14">
        <v>2010</v>
      </c>
      <c r="E186" s="19">
        <v>39.009639719431668</v>
      </c>
      <c r="F186" s="19">
        <v>33.654638770848486</v>
      </c>
      <c r="G186" s="19">
        <v>40.655984644352053</v>
      </c>
      <c r="H186" s="40"/>
      <c r="I186" s="40"/>
      <c r="J186" s="40"/>
      <c r="K186" s="40"/>
    </row>
    <row r="187" spans="2:11" s="39" customFormat="1" ht="8.25" customHeight="1" x14ac:dyDescent="0.25">
      <c r="B187" s="13" t="s">
        <v>14</v>
      </c>
      <c r="C187" s="16" t="s">
        <v>16</v>
      </c>
      <c r="D187" s="14">
        <v>2010</v>
      </c>
      <c r="E187" s="19">
        <v>35.465020872438728</v>
      </c>
      <c r="F187" s="19">
        <v>32.23706293706293</v>
      </c>
      <c r="G187" s="19">
        <v>36.153080816467799</v>
      </c>
      <c r="H187" s="40"/>
      <c r="I187" s="40"/>
      <c r="J187" s="40"/>
      <c r="K187" s="40"/>
    </row>
    <row r="188" spans="2:11" s="39" customFormat="1" ht="8.25" customHeight="1" x14ac:dyDescent="0.25">
      <c r="B188" s="13" t="s">
        <v>11</v>
      </c>
      <c r="C188" s="16" t="s">
        <v>17</v>
      </c>
      <c r="D188" s="14">
        <v>2010</v>
      </c>
      <c r="E188" s="19">
        <v>32.09155568879909</v>
      </c>
      <c r="F188" s="19">
        <v>25.432812615306872</v>
      </c>
      <c r="G188" s="19">
        <v>33.978064588247413</v>
      </c>
      <c r="H188" s="40"/>
      <c r="I188" s="40"/>
      <c r="J188" s="40"/>
      <c r="K188" s="40"/>
    </row>
    <row r="189" spans="2:11" s="39" customFormat="1" ht="8.25" customHeight="1" x14ac:dyDescent="0.25">
      <c r="B189" s="13" t="s">
        <v>13</v>
      </c>
      <c r="C189" s="16" t="s">
        <v>17</v>
      </c>
      <c r="D189" s="14">
        <v>2010</v>
      </c>
      <c r="E189" s="19">
        <v>37.866140865607754</v>
      </c>
      <c r="F189" s="19">
        <v>31.340131033271273</v>
      </c>
      <c r="G189" s="19">
        <v>39.872501366506377</v>
      </c>
      <c r="H189" s="40"/>
      <c r="I189" s="40"/>
      <c r="J189" s="40"/>
      <c r="K189" s="40"/>
    </row>
    <row r="190" spans="2:11" s="39" customFormat="1" ht="8.25" customHeight="1" x14ac:dyDescent="0.25">
      <c r="B190" s="13" t="s">
        <v>14</v>
      </c>
      <c r="C190" s="16" t="s">
        <v>17</v>
      </c>
      <c r="D190" s="14">
        <v>2010</v>
      </c>
      <c r="E190" s="19">
        <v>28.35654691863078</v>
      </c>
      <c r="F190" s="19">
        <v>25.258600459942741</v>
      </c>
      <c r="G190" s="19">
        <v>29.01689405799015</v>
      </c>
      <c r="H190" s="40"/>
      <c r="I190" s="40"/>
      <c r="J190" s="40"/>
      <c r="K190" s="40"/>
    </row>
    <row r="191" spans="2:11" s="39" customFormat="1" ht="8.25" customHeight="1" x14ac:dyDescent="0.25">
      <c r="B191" s="13" t="s">
        <v>11</v>
      </c>
      <c r="C191" s="13" t="s">
        <v>12</v>
      </c>
      <c r="D191" s="14">
        <v>2006</v>
      </c>
      <c r="E191" s="19">
        <v>4.2515483686383551</v>
      </c>
      <c r="F191" s="21">
        <v>8.0469137773102641</v>
      </c>
      <c r="G191" s="19">
        <v>3.2074704928078637</v>
      </c>
      <c r="H191" s="40"/>
      <c r="I191" s="40"/>
      <c r="J191" s="40"/>
      <c r="K191" s="40"/>
    </row>
    <row r="192" spans="2:11" s="39" customFormat="1" ht="8.25" customHeight="1" x14ac:dyDescent="0.25">
      <c r="B192" s="13" t="s">
        <v>13</v>
      </c>
      <c r="C192" s="13" t="s">
        <v>12</v>
      </c>
      <c r="D192" s="14">
        <v>2006</v>
      </c>
      <c r="E192" s="19">
        <v>4.2461545108542014</v>
      </c>
      <c r="F192" s="19">
        <v>11.60080724627948</v>
      </c>
      <c r="G192" s="19">
        <v>2.0578261360582344</v>
      </c>
      <c r="H192" s="40"/>
      <c r="I192" s="40"/>
      <c r="J192" s="40"/>
      <c r="K192" s="40"/>
    </row>
    <row r="193" spans="2:11" s="39" customFormat="1" ht="8.25" customHeight="1" x14ac:dyDescent="0.25">
      <c r="B193" s="13" t="s">
        <v>14</v>
      </c>
      <c r="C193" s="13" t="s">
        <v>12</v>
      </c>
      <c r="D193" s="14">
        <v>2006</v>
      </c>
      <c r="E193" s="19">
        <v>3.6585443550533352</v>
      </c>
      <c r="F193" s="19">
        <v>12.242387215955501</v>
      </c>
      <c r="G193" s="19">
        <v>2.0289028621700744</v>
      </c>
      <c r="H193" s="40"/>
      <c r="I193" s="40"/>
      <c r="J193" s="40"/>
      <c r="K193" s="40"/>
    </row>
    <row r="194" spans="2:11" s="39" customFormat="1" ht="8.25" customHeight="1" x14ac:dyDescent="0.25">
      <c r="B194" s="13" t="s">
        <v>11</v>
      </c>
      <c r="C194" s="16" t="s">
        <v>15</v>
      </c>
      <c r="D194" s="14">
        <v>2006</v>
      </c>
      <c r="E194" s="19">
        <v>21.24245611492627</v>
      </c>
      <c r="F194" s="19">
        <v>30.853960175348</v>
      </c>
      <c r="G194" s="19">
        <v>18.598400098603769</v>
      </c>
      <c r="H194" s="40"/>
      <c r="I194" s="40"/>
      <c r="J194" s="40"/>
      <c r="K194" s="40"/>
    </row>
    <row r="195" spans="2:11" s="39" customFormat="1" ht="8.25" customHeight="1" x14ac:dyDescent="0.25">
      <c r="B195" s="13" t="s">
        <v>13</v>
      </c>
      <c r="C195" s="16" t="s">
        <v>15</v>
      </c>
      <c r="D195" s="14">
        <v>2006</v>
      </c>
      <c r="E195" s="19">
        <v>22.49725860077508</v>
      </c>
      <c r="F195" s="19">
        <v>29.13862471630944</v>
      </c>
      <c r="G195" s="19">
        <v>20.521164844139275</v>
      </c>
      <c r="H195" s="40"/>
      <c r="I195" s="40"/>
      <c r="J195" s="40"/>
      <c r="K195" s="40"/>
    </row>
    <row r="196" spans="2:11" s="39" customFormat="1" ht="8.25" customHeight="1" x14ac:dyDescent="0.25">
      <c r="B196" s="13" t="s">
        <v>14</v>
      </c>
      <c r="C196" s="16" t="s">
        <v>15</v>
      </c>
      <c r="D196" s="14">
        <v>2006</v>
      </c>
      <c r="E196" s="19">
        <v>36.725558738920071</v>
      </c>
      <c r="F196" s="19">
        <v>35.109006773471037</v>
      </c>
      <c r="G196" s="19">
        <v>37.032460972720457</v>
      </c>
      <c r="H196" s="40"/>
      <c r="I196" s="40"/>
      <c r="J196" s="40"/>
      <c r="K196" s="40"/>
    </row>
    <row r="197" spans="2:11" s="39" customFormat="1" ht="8.25" customHeight="1" x14ac:dyDescent="0.25">
      <c r="B197" s="13" t="s">
        <v>11</v>
      </c>
      <c r="C197" s="16" t="s">
        <v>16</v>
      </c>
      <c r="D197" s="14">
        <v>2006</v>
      </c>
      <c r="E197" s="19">
        <v>45.161113630200795</v>
      </c>
      <c r="F197" s="19">
        <v>38.884565571206252</v>
      </c>
      <c r="G197" s="19">
        <v>46.887747105335961</v>
      </c>
      <c r="H197" s="40"/>
      <c r="I197" s="40"/>
      <c r="J197" s="40"/>
      <c r="K197" s="40"/>
    </row>
    <row r="198" spans="2:11" s="39" customFormat="1" ht="8.25" customHeight="1" x14ac:dyDescent="0.25">
      <c r="B198" s="13" t="s">
        <v>13</v>
      </c>
      <c r="C198" s="16" t="s">
        <v>16</v>
      </c>
      <c r="D198" s="14">
        <v>2006</v>
      </c>
      <c r="E198" s="19">
        <v>39.596256021879555</v>
      </c>
      <c r="F198" s="19">
        <v>31.14468696181607</v>
      </c>
      <c r="G198" s="19">
        <v>42.110964765907347</v>
      </c>
      <c r="H198" s="40"/>
      <c r="I198" s="40"/>
      <c r="J198" s="40"/>
      <c r="K198" s="40"/>
    </row>
    <row r="199" spans="2:11" s="39" customFormat="1" ht="8.25" customHeight="1" x14ac:dyDescent="0.25">
      <c r="B199" s="13" t="s">
        <v>14</v>
      </c>
      <c r="C199" s="16" t="s">
        <v>16</v>
      </c>
      <c r="D199" s="14">
        <v>2006</v>
      </c>
      <c r="E199" s="19">
        <v>34.009697900806025</v>
      </c>
      <c r="F199" s="19">
        <v>28.440237917324406</v>
      </c>
      <c r="G199" s="19">
        <v>35.067059111920329</v>
      </c>
      <c r="H199" s="40"/>
      <c r="I199" s="40"/>
      <c r="J199" s="40"/>
      <c r="K199" s="40"/>
    </row>
    <row r="200" spans="2:11" s="39" customFormat="1" ht="8.25" customHeight="1" x14ac:dyDescent="0.25">
      <c r="B200" s="13" t="s">
        <v>11</v>
      </c>
      <c r="C200" s="16" t="s">
        <v>17</v>
      </c>
      <c r="D200" s="14">
        <v>2006</v>
      </c>
      <c r="E200" s="19">
        <v>29.344881886234596</v>
      </c>
      <c r="F200" s="19">
        <v>22.214560476135489</v>
      </c>
      <c r="G200" s="19">
        <v>31.306382303252398</v>
      </c>
      <c r="H200" s="40"/>
      <c r="I200" s="40"/>
      <c r="J200" s="40"/>
      <c r="K200" s="40"/>
    </row>
    <row r="201" spans="2:11" s="39" customFormat="1" ht="8.25" customHeight="1" x14ac:dyDescent="0.25">
      <c r="B201" s="13" t="s">
        <v>13</v>
      </c>
      <c r="C201" s="16" t="s">
        <v>17</v>
      </c>
      <c r="D201" s="14">
        <v>2006</v>
      </c>
      <c r="E201" s="19">
        <v>33.660330866491151</v>
      </c>
      <c r="F201" s="19">
        <v>28.115881075595023</v>
      </c>
      <c r="G201" s="19">
        <v>35.310044253895157</v>
      </c>
      <c r="H201" s="40"/>
      <c r="I201" s="40"/>
      <c r="J201" s="40"/>
      <c r="K201" s="40"/>
    </row>
    <row r="202" spans="2:11" s="39" customFormat="1" ht="8.25" customHeight="1" x14ac:dyDescent="0.25">
      <c r="B202" s="13" t="s">
        <v>14</v>
      </c>
      <c r="C202" s="16" t="s">
        <v>17</v>
      </c>
      <c r="D202" s="14">
        <v>2006</v>
      </c>
      <c r="E202" s="19">
        <v>25.606199005220553</v>
      </c>
      <c r="F202" s="19">
        <v>24.208368093249053</v>
      </c>
      <c r="G202" s="19">
        <v>25.871577053189139</v>
      </c>
      <c r="H202" s="40"/>
      <c r="I202" s="40"/>
      <c r="J202" s="40"/>
      <c r="K202" s="40"/>
    </row>
    <row r="203" spans="2:11" s="39" customFormat="1" x14ac:dyDescent="0.25">
      <c r="B203" s="13" t="s">
        <v>11</v>
      </c>
      <c r="C203" s="13" t="s">
        <v>12</v>
      </c>
      <c r="D203" s="14">
        <v>2005</v>
      </c>
      <c r="E203" s="19">
        <v>4.7988791523357115</v>
      </c>
      <c r="F203" s="19">
        <v>9.8395271631659735</v>
      </c>
      <c r="G203" s="19">
        <v>3.2871763022626288</v>
      </c>
    </row>
    <row r="204" spans="2:11" s="39" customFormat="1" ht="8.25" customHeight="1" x14ac:dyDescent="0.25">
      <c r="B204" s="13" t="s">
        <v>13</v>
      </c>
      <c r="C204" s="13" t="s">
        <v>12</v>
      </c>
      <c r="D204" s="14">
        <v>2005</v>
      </c>
      <c r="E204" s="19">
        <v>4.3755488185340248</v>
      </c>
      <c r="F204" s="19">
        <v>12.61624825735595</v>
      </c>
      <c r="G204" s="19">
        <v>2.0206492308206041</v>
      </c>
    </row>
    <row r="205" spans="2:11" s="39" customFormat="1" ht="8.25" customHeight="1" x14ac:dyDescent="0.25">
      <c r="B205" s="13" t="s">
        <v>14</v>
      </c>
      <c r="C205" s="13" t="s">
        <v>12</v>
      </c>
      <c r="D205" s="14">
        <v>2005</v>
      </c>
      <c r="E205" s="19">
        <v>3.622969814818068</v>
      </c>
      <c r="F205" s="19">
        <v>12.767188287469155</v>
      </c>
      <c r="G205" s="19">
        <v>1.8955267408437952</v>
      </c>
      <c r="H205" s="41"/>
      <c r="I205" s="41"/>
      <c r="J205" s="41"/>
      <c r="K205" s="41"/>
    </row>
    <row r="206" spans="2:11" s="39" customFormat="1" ht="8.25" customHeight="1" x14ac:dyDescent="0.25">
      <c r="B206" s="13" t="s">
        <v>11</v>
      </c>
      <c r="C206" s="16" t="s">
        <v>15</v>
      </c>
      <c r="D206" s="14">
        <v>2005</v>
      </c>
      <c r="E206" s="19">
        <v>22.120709603673063</v>
      </c>
      <c r="F206" s="19">
        <v>29.449625043279116</v>
      </c>
      <c r="G206" s="19">
        <v>19.922748939855431</v>
      </c>
      <c r="H206" s="42"/>
      <c r="I206" s="43"/>
      <c r="J206" s="43"/>
      <c r="K206" s="43"/>
    </row>
    <row r="207" spans="2:11" s="39" customFormat="1" ht="8.25" customHeight="1" x14ac:dyDescent="0.25">
      <c r="B207" s="13" t="s">
        <v>13</v>
      </c>
      <c r="C207" s="16" t="s">
        <v>15</v>
      </c>
      <c r="D207" s="14">
        <v>2005</v>
      </c>
      <c r="E207" s="19">
        <v>22.888799820098448</v>
      </c>
      <c r="F207" s="19">
        <v>29.846957422116866</v>
      </c>
      <c r="G207" s="19">
        <v>20.900404328738102</v>
      </c>
      <c r="H207" s="44"/>
      <c r="I207" s="44"/>
      <c r="J207" s="44"/>
      <c r="K207" s="43"/>
    </row>
    <row r="208" spans="2:11" s="39" customFormat="1" ht="16.5" customHeight="1" x14ac:dyDescent="0.25">
      <c r="B208" s="13" t="s">
        <v>14</v>
      </c>
      <c r="C208" s="16" t="s">
        <v>15</v>
      </c>
      <c r="D208" s="14">
        <v>2005</v>
      </c>
      <c r="E208" s="19">
        <v>37.524341462050145</v>
      </c>
      <c r="F208" s="19">
        <v>35.463904279568304</v>
      </c>
      <c r="G208" s="19">
        <v>37.913580679775841</v>
      </c>
      <c r="H208" s="44"/>
      <c r="I208" s="44"/>
      <c r="J208" s="44"/>
      <c r="K208" s="43"/>
    </row>
    <row r="209" spans="2:11" s="39" customFormat="1" ht="33" customHeight="1" x14ac:dyDescent="0.25">
      <c r="B209" s="13" t="s">
        <v>11</v>
      </c>
      <c r="C209" s="16" t="s">
        <v>16</v>
      </c>
      <c r="D209" s="14">
        <v>2005</v>
      </c>
      <c r="E209" s="19">
        <v>42.899124175064578</v>
      </c>
      <c r="F209" s="19">
        <v>37.710705625285698</v>
      </c>
      <c r="G209" s="19">
        <v>44.455143881036122</v>
      </c>
      <c r="H209" s="44"/>
      <c r="I209" s="44"/>
      <c r="J209" s="44"/>
      <c r="K209" s="45"/>
    </row>
    <row r="210" spans="2:11" s="39" customFormat="1" ht="8.25" customHeight="1" x14ac:dyDescent="0.25">
      <c r="B210" s="13" t="s">
        <v>13</v>
      </c>
      <c r="C210" s="16" t="s">
        <v>16</v>
      </c>
      <c r="D210" s="14">
        <v>2005</v>
      </c>
      <c r="E210" s="19">
        <v>38.480961097514978</v>
      </c>
      <c r="F210" s="19">
        <v>31.468724501456013</v>
      </c>
      <c r="G210" s="19">
        <v>40.484810767756208</v>
      </c>
      <c r="H210" s="45"/>
      <c r="I210" s="45"/>
      <c r="J210" s="45"/>
      <c r="K210" s="45"/>
    </row>
    <row r="211" spans="2:11" s="39" customFormat="1" ht="8.25" customHeight="1" x14ac:dyDescent="0.25">
      <c r="B211" s="13" t="s">
        <v>14</v>
      </c>
      <c r="C211" s="16" t="s">
        <v>16</v>
      </c>
      <c r="D211" s="14">
        <v>2005</v>
      </c>
      <c r="E211" s="19">
        <v>33.36893491811621</v>
      </c>
      <c r="F211" s="19">
        <v>28.71141948621921</v>
      </c>
      <c r="G211" s="19">
        <v>34.248790746127099</v>
      </c>
      <c r="H211" s="45"/>
      <c r="I211" s="45"/>
      <c r="J211" s="45"/>
      <c r="K211" s="45"/>
    </row>
    <row r="212" spans="2:11" s="39" customFormat="1" ht="8.25" customHeight="1" x14ac:dyDescent="0.25">
      <c r="B212" s="13" t="s">
        <v>11</v>
      </c>
      <c r="C212" s="16" t="s">
        <v>17</v>
      </c>
      <c r="D212" s="14">
        <v>2005</v>
      </c>
      <c r="E212" s="19">
        <v>30.181287068926643</v>
      </c>
      <c r="F212" s="19">
        <v>23.0001421682692</v>
      </c>
      <c r="G212" s="19">
        <v>32.334930876845824</v>
      </c>
      <c r="H212" s="45"/>
      <c r="I212" s="45"/>
      <c r="J212" s="45"/>
      <c r="K212" s="45"/>
    </row>
    <row r="213" spans="2:11" s="39" customFormat="1" ht="8.25" customHeight="1" x14ac:dyDescent="0.25">
      <c r="B213" s="13" t="s">
        <v>13</v>
      </c>
      <c r="C213" s="16" t="s">
        <v>17</v>
      </c>
      <c r="D213" s="14">
        <v>2005</v>
      </c>
      <c r="E213" s="19">
        <v>34.254690263852538</v>
      </c>
      <c r="F213" s="19">
        <v>26.068069819071184</v>
      </c>
      <c r="G213" s="19">
        <v>36.594135672685091</v>
      </c>
    </row>
    <row r="214" spans="2:11" s="39" customFormat="1" ht="8.25" customHeight="1" x14ac:dyDescent="0.25">
      <c r="B214" s="13" t="s">
        <v>14</v>
      </c>
      <c r="C214" s="16" t="s">
        <v>17</v>
      </c>
      <c r="D214" s="14">
        <v>2005</v>
      </c>
      <c r="E214" s="19">
        <v>25.483753805015574</v>
      </c>
      <c r="F214" s="19">
        <v>23.057487946743326</v>
      </c>
      <c r="G214" s="19">
        <v>25.942101833253261</v>
      </c>
    </row>
    <row r="215" spans="2:11" s="39" customFormat="1" ht="8.25" customHeight="1" x14ac:dyDescent="0.25">
      <c r="D215" s="46" t="s">
        <v>18</v>
      </c>
    </row>
    <row r="216" spans="2:11" s="39" customFormat="1" ht="8.25" customHeight="1" x14ac:dyDescent="0.25">
      <c r="B216" s="47"/>
      <c r="D216" s="46"/>
    </row>
    <row r="217" spans="2:11" s="39" customFormat="1" ht="8.25" customHeight="1" x14ac:dyDescent="0.25">
      <c r="B217" s="48" t="s">
        <v>19</v>
      </c>
      <c r="C217" s="48"/>
      <c r="D217" s="48"/>
      <c r="E217" s="48"/>
      <c r="F217" s="48"/>
      <c r="G217" s="48"/>
    </row>
    <row r="218" spans="2:11" s="39" customFormat="1" x14ac:dyDescent="0.25">
      <c r="B218" s="49" t="s">
        <v>20</v>
      </c>
      <c r="C218" s="42"/>
      <c r="D218" s="50"/>
      <c r="E218" s="42"/>
      <c r="F218" s="42"/>
      <c r="G218" s="42"/>
    </row>
    <row r="219" spans="2:11" s="39" customFormat="1" x14ac:dyDescent="0.25">
      <c r="B219" s="51" t="s">
        <v>21</v>
      </c>
      <c r="C219" s="51"/>
      <c r="D219" s="51"/>
      <c r="E219" s="51"/>
      <c r="F219" s="51"/>
      <c r="G219" s="51"/>
    </row>
    <row r="220" spans="2:11" s="39" customFormat="1" x14ac:dyDescent="0.25">
      <c r="B220" s="51"/>
      <c r="C220" s="51"/>
      <c r="D220" s="51"/>
      <c r="E220" s="51"/>
      <c r="F220" s="51"/>
      <c r="G220" s="51"/>
    </row>
    <row r="221" spans="2:11" s="39" customFormat="1" x14ac:dyDescent="0.25">
      <c r="B221" s="51" t="s">
        <v>22</v>
      </c>
      <c r="C221" s="51"/>
      <c r="D221" s="51"/>
      <c r="E221" s="51"/>
      <c r="F221" s="51"/>
      <c r="G221" s="51"/>
    </row>
    <row r="222" spans="2:11" s="39" customFormat="1" x14ac:dyDescent="0.25">
      <c r="B222" s="52" t="s">
        <v>23</v>
      </c>
      <c r="C222" s="53"/>
      <c r="D222" s="54"/>
      <c r="E222" s="53"/>
      <c r="F222" s="53"/>
      <c r="G222" s="53"/>
    </row>
    <row r="223" spans="2:11" s="39" customFormat="1" x14ac:dyDescent="0.25">
      <c r="B223" s="53"/>
      <c r="C223" s="53"/>
      <c r="D223" s="54"/>
      <c r="E223" s="53"/>
      <c r="F223" s="53"/>
      <c r="G223" s="53"/>
    </row>
    <row r="224" spans="2:11" s="39" customFormat="1" x14ac:dyDescent="0.25">
      <c r="B224" s="49" t="s">
        <v>24</v>
      </c>
      <c r="C224" s="55"/>
      <c r="D224" s="56"/>
      <c r="E224" s="45"/>
      <c r="F224" s="45"/>
      <c r="G224" s="45"/>
    </row>
    <row r="225" spans="2:4" s="39" customFormat="1" x14ac:dyDescent="0.25">
      <c r="D225" s="46"/>
    </row>
    <row r="226" spans="2:4" s="39" customFormat="1" x14ac:dyDescent="0.25">
      <c r="B226" s="49" t="s">
        <v>25</v>
      </c>
      <c r="D226" s="46"/>
    </row>
    <row r="227" spans="2:4" s="39" customFormat="1" x14ac:dyDescent="0.25">
      <c r="B227" s="49" t="s">
        <v>28</v>
      </c>
      <c r="D227" s="46"/>
    </row>
    <row r="228" spans="2:4" s="39" customFormat="1" x14ac:dyDescent="0.25">
      <c r="B228" s="49" t="s">
        <v>26</v>
      </c>
      <c r="D228" s="46"/>
    </row>
    <row r="229" spans="2:4" s="39" customFormat="1" x14ac:dyDescent="0.25">
      <c r="B229" s="57" t="s">
        <v>27</v>
      </c>
      <c r="D229" s="46"/>
    </row>
  </sheetData>
  <mergeCells count="7">
    <mergeCell ref="B6:B9"/>
    <mergeCell ref="C6:C9"/>
    <mergeCell ref="D6:D9"/>
    <mergeCell ref="E6:E8"/>
    <mergeCell ref="F6:G6"/>
    <mergeCell ref="F8:G8"/>
    <mergeCell ref="E9:G9"/>
  </mergeCells>
  <hyperlinks>
    <hyperlink ref="B229" r:id="rId1" xr:uid="{0178E4F1-5847-4B81-ADBB-EFDE3517656C}"/>
    <hyperlink ref="B222" r:id="rId2" xr:uid="{4B446814-EB3D-4088-8F8C-638339A7752C}"/>
  </hyperlinks>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1</vt:i4>
      </vt:variant>
    </vt:vector>
  </HeadingPairs>
  <TitlesOfParts>
    <vt:vector size="1" baseType="lpstr">
      <vt:lpstr>Tabelle1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Biester, Christoph, Dr. (LSN)</dc:creator>
  <cp:lastModifiedBy>Schlesier, Alexander (LSN)</cp:lastModifiedBy>
  <dcterms:created xsi:type="dcterms:W3CDTF">2025-06-23T09:18:53Z</dcterms:created>
  <dcterms:modified xsi:type="dcterms:W3CDTF">2026-06-22T13:53:20Z</dcterms:modified>
</cp:coreProperties>
</file>